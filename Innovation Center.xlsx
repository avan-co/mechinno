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no center\لیست اعضا\"/>
    </mc:Choice>
  </mc:AlternateContent>
  <xr:revisionPtr revIDLastSave="0" documentId="13_ncr:1_{9E657720-7083-464D-8AAD-2D709EA23C56}" xr6:coauthVersionLast="47" xr6:coauthVersionMax="47" xr10:uidLastSave="{00000000-0000-0000-0000-000000000000}"/>
  <bookViews>
    <workbookView xWindow="465" yWindow="-16320" windowWidth="29040" windowHeight="15720" tabRatio="403" activeTab="2" xr2:uid="{00000000-000D-0000-FFFF-FFFF00000000}"/>
  </bookViews>
  <sheets>
    <sheet name="Members" sheetId="1" r:id="rId1"/>
    <sheet name="Teams" sheetId="2" r:id="rId2"/>
    <sheet name="lockers" sheetId="4" r:id="rId3"/>
    <sheet name="sevice charge" sheetId="5" r:id="rId4"/>
    <sheet name="Finance" sheetId="6" r:id="rId5"/>
    <sheet name="plans" sheetId="8" r:id="rId6"/>
  </sheets>
  <definedNames>
    <definedName name="valuevx" localSheetId="0">Members!$A$1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5" l="1"/>
  <c r="P16" i="5"/>
  <c r="O16" i="5"/>
  <c r="N16" i="5"/>
  <c r="M16" i="5"/>
  <c r="L16" i="5"/>
  <c r="P15" i="5"/>
  <c r="O15" i="5"/>
  <c r="P14" i="5"/>
  <c r="O14" i="5"/>
  <c r="N14" i="5"/>
  <c r="M14" i="5"/>
  <c r="L14" i="5"/>
  <c r="P12" i="5"/>
  <c r="P11" i="5"/>
  <c r="P10" i="5"/>
  <c r="O12" i="5"/>
  <c r="O11" i="5"/>
  <c r="O10" i="5"/>
  <c r="P6" i="5"/>
  <c r="O6" i="5"/>
  <c r="N6" i="5"/>
  <c r="M6" i="5"/>
  <c r="L6" i="5"/>
  <c r="N8" i="5"/>
  <c r="N10" i="5"/>
  <c r="N12" i="5"/>
  <c r="N15" i="5"/>
  <c r="P13" i="5"/>
  <c r="O13" i="5"/>
  <c r="L13" i="5"/>
  <c r="M13" i="5"/>
  <c r="N13" i="5"/>
  <c r="P17" i="5"/>
  <c r="P18" i="5"/>
  <c r="O18" i="5"/>
  <c r="O17" i="5"/>
  <c r="N11" i="5"/>
  <c r="P8" i="5"/>
  <c r="O8" i="5"/>
  <c r="P9" i="5"/>
  <c r="O9" i="5"/>
  <c r="N9" i="5"/>
  <c r="M8" i="5"/>
  <c r="L8" i="5"/>
  <c r="M9" i="5"/>
  <c r="A13" i="8"/>
  <c r="A14" i="8" s="1"/>
  <c r="A15" i="8" s="1"/>
  <c r="A16" i="8" s="1"/>
  <c r="A17" i="8" s="1"/>
  <c r="A18" i="8" s="1"/>
  <c r="A19" i="8" s="1"/>
  <c r="A20" i="8" s="1"/>
  <c r="A21" i="8" s="1"/>
  <c r="A7" i="8"/>
  <c r="A8" i="8" s="1"/>
  <c r="A9" i="8" s="1"/>
  <c r="A10" i="8" s="1"/>
  <c r="A11" i="8" s="1"/>
  <c r="M15" i="5"/>
  <c r="L15" i="5"/>
  <c r="I28" i="6"/>
  <c r="I4" i="6"/>
  <c r="M17" i="5"/>
  <c r="L17" i="5"/>
  <c r="A13" i="5"/>
  <c r="A14" i="5" s="1"/>
  <c r="A15" i="5" s="1"/>
  <c r="A16" i="5" s="1"/>
  <c r="A17" i="5" s="1"/>
  <c r="A18" i="5" s="1"/>
  <c r="A19" i="5" s="1"/>
  <c r="M12" i="5"/>
  <c r="L12" i="5"/>
  <c r="M11" i="5"/>
  <c r="L11" i="5"/>
  <c r="M10" i="5"/>
  <c r="L10" i="5"/>
  <c r="L9" i="5"/>
  <c r="A7" i="5"/>
  <c r="A8" i="5" s="1"/>
  <c r="A9" i="5" s="1"/>
  <c r="A10" i="5" s="1"/>
  <c r="A11" i="5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7" i="4"/>
  <c r="A8" i="4" s="1"/>
  <c r="A9" i="4" s="1"/>
  <c r="A10" i="4" s="1"/>
  <c r="A11" i="4" s="1"/>
  <c r="I29" i="6" l="1"/>
  <c r="E24" i="2"/>
  <c r="E20" i="2"/>
  <c r="A7" i="2"/>
  <c r="A13" i="2"/>
  <c r="A14" i="2" s="1"/>
  <c r="A15" i="2" s="1"/>
  <c r="A16" i="2" s="1"/>
  <c r="A17" i="2" s="1"/>
  <c r="A18" i="2" s="1"/>
  <c r="A19" i="2" s="1"/>
  <c r="A8" i="2" l="1"/>
  <c r="A9" i="2" s="1"/>
  <c r="A10" i="2" s="1"/>
  <c r="A11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<sst xmlns="http://schemas.openxmlformats.org/spreadsheetml/2006/main" count="745" uniqueCount="360">
  <si>
    <t>کد</t>
  </si>
  <si>
    <t>نام</t>
  </si>
  <si>
    <t>شرکت</t>
  </si>
  <si>
    <t>ميز</t>
  </si>
  <si>
    <t>كمد</t>
  </si>
  <si>
    <t>سه راهي</t>
  </si>
  <si>
    <t>شماره تماس</t>
  </si>
  <si>
    <t>اخطار</t>
  </si>
  <si>
    <t>توضیحات</t>
  </si>
  <si>
    <t>امیرحسین احمدی نیا</t>
  </si>
  <si>
    <t>علی فولادگر</t>
  </si>
  <si>
    <t>شبیه سازان</t>
  </si>
  <si>
    <t>محمد فولادگر</t>
  </si>
  <si>
    <t>محمد ریاضی دوست</t>
  </si>
  <si>
    <t>محمدعلی سکادفکر</t>
  </si>
  <si>
    <t>حسن شریفی</t>
  </si>
  <si>
    <t>محمدحسين طيب زاده</t>
  </si>
  <si>
    <t>بادی تک</t>
  </si>
  <si>
    <t>17, 18</t>
  </si>
  <si>
    <t>علی جعفری فشارکی</t>
  </si>
  <si>
    <t>سلمان عامی مطلق</t>
  </si>
  <si>
    <t>یاسین بیات</t>
  </si>
  <si>
    <t>مهدی پورحسین</t>
  </si>
  <si>
    <t>کوین باباخانلو</t>
  </si>
  <si>
    <t>حانیه عطریان سرشت</t>
  </si>
  <si>
    <t>امیرحسین محرابیان</t>
  </si>
  <si>
    <t>الهه دهسنگی</t>
  </si>
  <si>
    <t>فیدار</t>
  </si>
  <si>
    <t>آیدا احمدی</t>
  </si>
  <si>
    <t>محمدمهدی طهماسبی</t>
  </si>
  <si>
    <t>سوشیانت</t>
  </si>
  <si>
    <t>محمد باقری</t>
  </si>
  <si>
    <t>محمدطاها یاری میاب</t>
  </si>
  <si>
    <t>امین رضا نجاریان</t>
  </si>
  <si>
    <t>سامان محجوب</t>
  </si>
  <si>
    <t>کارانو</t>
  </si>
  <si>
    <t>سجاد شریفیان</t>
  </si>
  <si>
    <t>علی آرانی</t>
  </si>
  <si>
    <t>دکتر عظیمی</t>
  </si>
  <si>
    <t>مهدی گرجی</t>
  </si>
  <si>
    <t>علیرضا طاهری</t>
  </si>
  <si>
    <t>مهدیه نوری</t>
  </si>
  <si>
    <t>علیرضا ابراهیمی</t>
  </si>
  <si>
    <t>پگاه گل افشان</t>
  </si>
  <si>
    <t>محمدحسین صدری</t>
  </si>
  <si>
    <t>مدیر</t>
  </si>
  <si>
    <t>محمد دهقان نیری</t>
  </si>
  <si>
    <t>محمدجواد حقی</t>
  </si>
  <si>
    <t>سرگروه</t>
  </si>
  <si>
    <t>کمد</t>
  </si>
  <si>
    <t>سه راهی</t>
  </si>
  <si>
    <t>تاریخ عضویت</t>
  </si>
  <si>
    <t>23, 26</t>
  </si>
  <si>
    <t>20, 21, 22, 24, 25, 29, 33, 36</t>
  </si>
  <si>
    <t>حسین وارث</t>
  </si>
  <si>
    <t>1, 7, 11, 14, 18</t>
  </si>
  <si>
    <t>مهدی طهماسبی</t>
  </si>
  <si>
    <t>شماره کمد</t>
  </si>
  <si>
    <t>5 , 6 , 7 , 8</t>
  </si>
  <si>
    <t>21 , 22</t>
  </si>
  <si>
    <t>عرفان عطوفی</t>
  </si>
  <si>
    <t>رامیلا عابدی آذر</t>
  </si>
  <si>
    <t>سید جواد میرفرجود</t>
  </si>
  <si>
    <t>امید والی نژاد</t>
  </si>
  <si>
    <t>صهیب جوهری</t>
  </si>
  <si>
    <t>سارا رضایی</t>
  </si>
  <si>
    <t>آریا کارخیران</t>
  </si>
  <si>
    <t>نیلوفر مود</t>
  </si>
  <si>
    <t>ساره رضوی</t>
  </si>
  <si>
    <t>تیم ساز هم افزا</t>
  </si>
  <si>
    <t>رهام</t>
  </si>
  <si>
    <t>علی اقبالی</t>
  </si>
  <si>
    <t>نیروی خدمات</t>
  </si>
  <si>
    <t>امید صداقت</t>
  </si>
  <si>
    <t>رهام نرگسی</t>
  </si>
  <si>
    <t>محمدعلی مهدی</t>
  </si>
  <si>
    <t>کلید یدک</t>
  </si>
  <si>
    <t xml:space="preserve"> </t>
  </si>
  <si>
    <t>روبوتوپیا</t>
  </si>
  <si>
    <t>2,3,4</t>
  </si>
  <si>
    <t>15 , 16</t>
  </si>
  <si>
    <t>دکتر یزدان مهر</t>
  </si>
  <si>
    <t>پایش تجهیز پیشتاز</t>
  </si>
  <si>
    <t>رایان رباتیک ایرانیان</t>
  </si>
  <si>
    <t>30 , 35</t>
  </si>
  <si>
    <t>سیف الله قادری</t>
  </si>
  <si>
    <t>یونس میری نژاد</t>
  </si>
  <si>
    <t>سپیده تخمه چی</t>
  </si>
  <si>
    <t>زهره اکبری</t>
  </si>
  <si>
    <t>نسرین سادات هاشمی</t>
  </si>
  <si>
    <t>نیلوفر شیروین</t>
  </si>
  <si>
    <t>محمدعرفان حافظی</t>
  </si>
  <si>
    <t>مهدی باغکی</t>
  </si>
  <si>
    <t>محمدرضا خبازیان</t>
  </si>
  <si>
    <t>آلاله صباغ پور</t>
  </si>
  <si>
    <t>مازیار عسکری</t>
  </si>
  <si>
    <t>محمد مهدی قربانی</t>
  </si>
  <si>
    <t>کارآموز</t>
  </si>
  <si>
    <t>آرش اخلاقی</t>
  </si>
  <si>
    <t>باران میرفخار</t>
  </si>
  <si>
    <t>سید جعفر احمدی</t>
  </si>
  <si>
    <t>علیرضا اصلانی منش</t>
  </si>
  <si>
    <t>محمدصالح رحیمی</t>
  </si>
  <si>
    <t>کدملی</t>
  </si>
  <si>
    <t>ابوالفضل کوانگری</t>
  </si>
  <si>
    <t>علی باغی بیرق</t>
  </si>
  <si>
    <t>0079812856</t>
  </si>
  <si>
    <t>0014251991</t>
  </si>
  <si>
    <t>0480307164</t>
  </si>
  <si>
    <t>1990881165</t>
  </si>
  <si>
    <t>4271371858</t>
  </si>
  <si>
    <t>0023065826</t>
  </si>
  <si>
    <t>1540349578</t>
  </si>
  <si>
    <t>0023241543</t>
  </si>
  <si>
    <t>علی آهنگر ارجمندی</t>
  </si>
  <si>
    <t>0015064603</t>
  </si>
  <si>
    <t>0016660692</t>
  </si>
  <si>
    <t>0020536208</t>
  </si>
  <si>
    <t>محمدحسین  وارث وزیریان</t>
  </si>
  <si>
    <t>0024279048</t>
  </si>
  <si>
    <t>فهیمه اطیابی</t>
  </si>
  <si>
    <t>سیدمحسن توسلی</t>
  </si>
  <si>
    <t>1273067061</t>
  </si>
  <si>
    <t>9133658053</t>
  </si>
  <si>
    <t>0760439451</t>
  </si>
  <si>
    <t>0083085858</t>
  </si>
  <si>
    <t>5739917492</t>
  </si>
  <si>
    <t>0016396642</t>
  </si>
  <si>
    <t>0081241224</t>
  </si>
  <si>
    <t>013337246</t>
  </si>
  <si>
    <t>0019938004</t>
  </si>
  <si>
    <t>2572599902</t>
  </si>
  <si>
    <t>3329848111</t>
  </si>
  <si>
    <t>0022941983</t>
  </si>
  <si>
    <t>0021306745</t>
  </si>
  <si>
    <t>1272179478</t>
  </si>
  <si>
    <t>00200266772</t>
  </si>
  <si>
    <t>0250225689</t>
  </si>
  <si>
    <t>خالی</t>
  </si>
  <si>
    <t>پرهام بیضاوی</t>
  </si>
  <si>
    <t>0200283405</t>
  </si>
  <si>
    <t>آوان صنعت دانش گستر</t>
  </si>
  <si>
    <t>محمدعلی کشاورز</t>
  </si>
  <si>
    <t>0023191171</t>
  </si>
  <si>
    <t>عرفان نجف آبادی</t>
  </si>
  <si>
    <t>0180637893</t>
  </si>
  <si>
    <t>محمدحسین نظری مقدم</t>
  </si>
  <si>
    <t>جواد زین‌الدینی</t>
  </si>
  <si>
    <t>مرکز نوآوری دانشکده مکانیک</t>
  </si>
  <si>
    <t>ردیف</t>
  </si>
  <si>
    <t>لیست تیم ها</t>
  </si>
  <si>
    <t>9 10</t>
  </si>
  <si>
    <t>سید سینا میرخانی</t>
  </si>
  <si>
    <t>0020111101</t>
  </si>
  <si>
    <t>مشخص شود</t>
  </si>
  <si>
    <t>دکتر قریشی</t>
  </si>
  <si>
    <t>محمد سجاد اعرابی</t>
  </si>
  <si>
    <t>دانشجو دکترا</t>
  </si>
  <si>
    <t>شرکت رهام</t>
  </si>
  <si>
    <t xml:space="preserve"> تعداد میز</t>
  </si>
  <si>
    <t>امیر یزدان مهر</t>
  </si>
  <si>
    <t>تعداد میز های مورد استفاده</t>
  </si>
  <si>
    <t>تعداد کل میز ها</t>
  </si>
  <si>
    <t>علی بابایی</t>
  </si>
  <si>
    <t>تعداد کل میز های اجاره داده شده</t>
  </si>
  <si>
    <t>معاون پارک فناوری</t>
  </si>
  <si>
    <t>کادر سابق</t>
  </si>
  <si>
    <t>امیرحسین ساعی</t>
  </si>
  <si>
    <t>زهرا نعمتی</t>
  </si>
  <si>
    <t>علی پورحسین</t>
  </si>
  <si>
    <t>1990620051</t>
  </si>
  <si>
    <t>احسان صالحی</t>
  </si>
  <si>
    <t>لیست کمد ها</t>
  </si>
  <si>
    <t>وضعیت</t>
  </si>
  <si>
    <t>نام تیم</t>
  </si>
  <si>
    <t>تاریخ تحویل</t>
  </si>
  <si>
    <t>شماره کلید</t>
  </si>
  <si>
    <t>1404/09/01</t>
  </si>
  <si>
    <t>ندارد</t>
  </si>
  <si>
    <t>خراب</t>
  </si>
  <si>
    <t>1404/09/02</t>
  </si>
  <si>
    <t>1404/09/03</t>
  </si>
  <si>
    <t>تخصیص یافته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</si>
  <si>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</si>
  <si>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</si>
  <si>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</si>
  <si>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</si>
  <si>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</si>
  <si>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</si>
  <si>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</si>
  <si>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</si>
  <si>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</si>
  <si>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</si>
  <si>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</si>
  <si>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</si>
  <si>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</si>
  <si>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</si>
  <si>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</si>
  <si>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</si>
  <si>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</si>
  <si>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</si>
  <si>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</si>
  <si>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</si>
  <si>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</si>
  <si>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</si>
  <si>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</si>
  <si>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</si>
  <si>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</si>
  <si>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</si>
  <si>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</si>
  <si>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1404/09/31</t>
  </si>
  <si>
    <t>1404/09/32</t>
  </si>
  <si>
    <t>1404/09/33</t>
  </si>
  <si>
    <t>1404/09/34</t>
  </si>
  <si>
    <t>1404/09/35</t>
  </si>
  <si>
    <t>1404/09/36</t>
  </si>
  <si>
    <t>لیست پرداختی آبونمان سال 1404 نرخ(700 هزار تومان به ازای هر میز)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</si>
  <si>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</si>
  <si>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</si>
  <si>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</si>
  <si>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</si>
  <si>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</si>
  <si>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</si>
  <si>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</si>
  <si>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</si>
  <si>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</si>
  <si>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</si>
  <si>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 xml:space="preserve">بهمن </t>
  </si>
  <si>
    <t>اسفند</t>
  </si>
  <si>
    <t>-</t>
  </si>
  <si>
    <t>دانیال سلیمی</t>
  </si>
  <si>
    <t>نام گیرنده تنخواه :</t>
  </si>
  <si>
    <t>شماره تنخواه :</t>
  </si>
  <si>
    <t>01</t>
  </si>
  <si>
    <t>مبلغ مانده تنخواه از قبل(ریال):</t>
  </si>
  <si>
    <t>تاریخ دریافت  :</t>
  </si>
  <si>
    <t>مبلغ تنخواه واریز شده جدید(ریال):</t>
  </si>
  <si>
    <t>از تاریخ :</t>
  </si>
  <si>
    <t>جمع موجودی تنخواه (ریال):</t>
  </si>
  <si>
    <t>تا تاریخ:</t>
  </si>
  <si>
    <t>تعداد فاکتور</t>
  </si>
  <si>
    <t>تاریخ</t>
  </si>
  <si>
    <t>شرح</t>
  </si>
  <si>
    <t>جمع پرداخت به ریال</t>
  </si>
  <si>
    <t>مانده تنخواه به ریال</t>
  </si>
  <si>
    <t>تنطیم کننده یا دارنده تنخواه :</t>
  </si>
  <si>
    <t>تایید کننده :</t>
  </si>
  <si>
    <t>کنترل واحد مالی:</t>
  </si>
  <si>
    <t>شماره و تاریخ سند :</t>
  </si>
  <si>
    <t>آقای مهدی پورحسین</t>
  </si>
  <si>
    <t>1404/10/30</t>
  </si>
  <si>
    <t>09</t>
  </si>
  <si>
    <t>1404</t>
  </si>
  <si>
    <t>29</t>
  </si>
  <si>
    <t>آبونمان اقای فولادگر 1 ماه</t>
  </si>
  <si>
    <t>آبان ماه</t>
  </si>
  <si>
    <t>02</t>
  </si>
  <si>
    <t>10</t>
  </si>
  <si>
    <t>آبونمان اقای طهماسبی 1 ماه</t>
  </si>
  <si>
    <t>آبونمان اقای فشارکی 2 ماه</t>
  </si>
  <si>
    <t>آبان و آذر</t>
  </si>
  <si>
    <t>11</t>
  </si>
  <si>
    <t>12</t>
  </si>
  <si>
    <t>05</t>
  </si>
  <si>
    <t>آذر ماه</t>
  </si>
  <si>
    <t>06</t>
  </si>
  <si>
    <t>آبونمان خانم تخمه چی 0.5 ماه</t>
  </si>
  <si>
    <t>آبونمان خانم تخمه چی 1.5 ماه</t>
  </si>
  <si>
    <t>08</t>
  </si>
  <si>
    <t>آبونمان خانم عابدی آذر 2 ماه</t>
  </si>
  <si>
    <t>آبونمان اقای باغکی 2 ماه</t>
  </si>
  <si>
    <t>مبلغ تراکنش(ریال)</t>
  </si>
  <si>
    <t>سهم مرکز از دوره ی پرینتر سه بعدی (خانم عابدی آذر)</t>
  </si>
  <si>
    <t>دوره ی آموزشی</t>
  </si>
  <si>
    <t>15</t>
  </si>
  <si>
    <t>هزینه ی تعمیر مایکرویو</t>
  </si>
  <si>
    <t>تعمیرات</t>
  </si>
  <si>
    <t>مرکز نوآوری دانشکده مهندسی مکانیک</t>
  </si>
  <si>
    <t>ناصری (دکتر عظیمی)</t>
  </si>
  <si>
    <t>شبیه سازان امیرکبیر</t>
  </si>
  <si>
    <t>آوان صعنت دانش گستر</t>
  </si>
  <si>
    <t>گرجی(دکتر عظیمی)</t>
  </si>
  <si>
    <t>صادقی(دکتر عظیمی)</t>
  </si>
  <si>
    <t>محمدپور(دکتر عظیمی)</t>
  </si>
  <si>
    <t>نوری(دکتر عظیمی)</t>
  </si>
  <si>
    <t>مجردی(دکتر عظیمی)</t>
  </si>
  <si>
    <t>طاهری(دکتر عظیمی)</t>
  </si>
  <si>
    <t>آرانی(دکتر عظیمی)</t>
  </si>
  <si>
    <t>جهانی(دکتر عظیمی)</t>
  </si>
  <si>
    <t>دارد</t>
  </si>
  <si>
    <t>21</t>
  </si>
  <si>
    <t>خرید پیج ها جهت تعمیر صندلی اتاق جلسه</t>
  </si>
  <si>
    <t>تعداد 5 عدد پیچ</t>
  </si>
  <si>
    <t>28</t>
  </si>
  <si>
    <t>خرید کابل HDMI برای اتاق جلسه</t>
  </si>
  <si>
    <t>خرید پلکسی های دور سینک فضای استراحت</t>
  </si>
  <si>
    <t>هزینه های مشترک فضای استراحت</t>
  </si>
  <si>
    <t>پر ینت رنگی A3 و لمینت اطلاعیه ها</t>
  </si>
  <si>
    <t>پرینت اطلاعیه</t>
  </si>
  <si>
    <t>پرینت قرارداد های 6 ماهه دوم سال 1404 تیم ها</t>
  </si>
  <si>
    <t>در 2 عدد فاکتور</t>
  </si>
  <si>
    <t>شامل هزینه ی اجاره(900 هزارتومان) از اول دی ماه</t>
  </si>
  <si>
    <t>شامل هزینه ی آبونمان نمی شوند</t>
  </si>
  <si>
    <t>رزرو</t>
  </si>
  <si>
    <t>شعبانی</t>
  </si>
  <si>
    <t>برنامه های اجرایی پیشنهادی جهت بهبود فضا و خدمات</t>
  </si>
  <si>
    <t xml:space="preserve">شماره </t>
  </si>
  <si>
    <t>عنوان طرح</t>
  </si>
  <si>
    <t>سرویس چایی مشترک در فضای استراحت</t>
  </si>
  <si>
    <t>بودجه ی پیشنهادی(ریال)</t>
  </si>
  <si>
    <t>نوع هزینه</t>
  </si>
  <si>
    <t>ماهانه</t>
  </si>
  <si>
    <t>چراغ خطی لاین آبی رنگ مرکز</t>
  </si>
  <si>
    <t>تعمیر پریز های برق مرکز</t>
  </si>
  <si>
    <t>خرید کولر آبی</t>
  </si>
  <si>
    <t>خرید گلدان و گل آرایی مرکز</t>
  </si>
  <si>
    <t>نور پردازی روی کمد ها</t>
  </si>
  <si>
    <t>افزایش کمد های مرکز</t>
  </si>
  <si>
    <t>تغییر محل بعضی دوربین های مرکز</t>
  </si>
  <si>
    <t>خرید دوربین، nvr و تلفن شبکه ای</t>
  </si>
  <si>
    <t>خرید دستگیره برای کمد ها</t>
  </si>
  <si>
    <t xml:space="preserve">تعویض قفل های کمد ها </t>
  </si>
  <si>
    <t xml:space="preserve">راه اندازی سرویس انلاین رزرو اتاق جلسه </t>
  </si>
  <si>
    <t>رنگ امیزی سردر و سقف مرکز</t>
  </si>
  <si>
    <t>افزودن تعداد سطل آشغال ها</t>
  </si>
  <si>
    <t>نظافت اساسی کف و دیوار های مرکز توسط نیروی خصوصی</t>
  </si>
  <si>
    <t>زمانبندی اجرا</t>
  </si>
  <si>
    <t>زمستان 1404</t>
  </si>
  <si>
    <t>2</t>
  </si>
  <si>
    <t>آبونمان آقای وارث ویزیریان 3 ماه</t>
  </si>
  <si>
    <t>آبان، آذر و دی</t>
  </si>
  <si>
    <t>8</t>
  </si>
  <si>
    <t>آبونمان آقای طهماسبی 1 ماه</t>
  </si>
  <si>
    <t>شهرزاد میلانی</t>
  </si>
  <si>
    <t>محمدرضا شعبانی</t>
  </si>
  <si>
    <t>تخمه چی</t>
  </si>
  <si>
    <t xml:space="preserve">آبونمان خانم تخمه چی </t>
  </si>
  <si>
    <t>دی ماه</t>
  </si>
  <si>
    <t>18</t>
  </si>
  <si>
    <t>واریز سود بانکی</t>
  </si>
  <si>
    <t>سود بانکی حساب مرکز</t>
  </si>
  <si>
    <t>آبونمان آقای فشارکی</t>
  </si>
  <si>
    <t>19</t>
  </si>
  <si>
    <t>20</t>
  </si>
  <si>
    <t xml:space="preserve">آبونمان خانم عابدی آذر </t>
  </si>
  <si>
    <t>هزینه ی اجاره به ازای هر میز</t>
  </si>
  <si>
    <t>هزنیه ی شارژ به ازای هر میز</t>
  </si>
  <si>
    <t>از دی ماه به بعد هزینه ی شارژ هر میز 600 هزارتومن شده و مقداری از تیم ها نیازمند اصلاحیه می باشد</t>
  </si>
  <si>
    <t>2110538740</t>
  </si>
  <si>
    <t>0023897961</t>
  </si>
  <si>
    <t>23301821</t>
  </si>
  <si>
    <t>150083068</t>
  </si>
  <si>
    <t>0022086315</t>
  </si>
  <si>
    <t xml:space="preserve">6660379282 </t>
  </si>
  <si>
    <t xml:space="preserve">0481154817 </t>
  </si>
  <si>
    <t>فاطمه حسینی</t>
  </si>
  <si>
    <t>حامد ایزدی</t>
  </si>
  <si>
    <t>سارا افتخاری</t>
  </si>
  <si>
    <t>سعید ظفر واحدیان</t>
  </si>
  <si>
    <t>0073115789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</si>
</sst>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_(* #,##0_);_(* \-#,##0_);_(* &quot;-&quot;??_);_(@_)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22"/>
      <color rgb="FF3B4E87"/>
      <name val="B Mitra"/>
      <charset val="178"/>
    </font>
    <font>
      <sz val="12"/>
      <color rgb="FF000000"/>
      <name val="B Mitra"/>
      <charset val="178"/>
    </font>
    <font>
      <b/>
      <sz val="12"/>
      <color rgb="FF000000"/>
      <name val="B Mitra"/>
      <charset val="178"/>
    </font>
    <font>
      <sz val="12"/>
      <name val="B Mitra"/>
      <charset val="178"/>
    </font>
    <font>
      <sz val="12"/>
      <color theme="1"/>
      <name val="B Mitra"/>
      <charset val="178"/>
    </font>
    <font>
      <b/>
      <sz val="16"/>
      <color rgb="FF1155CC"/>
      <name val="B Mitra"/>
      <charset val="178"/>
    </font>
    <font>
      <b/>
      <sz val="16"/>
      <color rgb="FF3B4E87"/>
      <name val="B Mitra"/>
      <charset val="178"/>
    </font>
    <font>
      <sz val="18"/>
      <color rgb="FF000000"/>
      <name val="B Mitra"/>
      <charset val="178"/>
    </font>
    <font>
      <b/>
      <sz val="18"/>
      <color rgb="FF000000"/>
      <name val="B Mitra"/>
      <charset val="178"/>
    </font>
    <font>
      <b/>
      <sz val="12"/>
      <color rgb="FF000000"/>
      <name val="Arial"/>
      <family val="2"/>
    </font>
    <font>
      <sz val="12"/>
      <color rgb="FFFF0000"/>
      <name val="B Mitra"/>
      <charset val="178"/>
    </font>
    <font>
      <sz val="16"/>
      <name val="B Mitra"/>
      <charset val="178"/>
    </font>
    <font>
      <sz val="16"/>
      <color rgb="FF000000"/>
      <name val="B Mitra"/>
      <charset val="178"/>
    </font>
    <font>
      <sz val="10"/>
      <color rgb="FF000000"/>
      <name val="B Mitra"/>
      <charset val="178"/>
    </font>
    <font>
      <sz val="20"/>
      <color rgb="FF000000"/>
      <name val="B Mitra"/>
      <charset val="178"/>
    </font>
    <font>
      <sz val="12"/>
      <color theme="9" tint="-0.249977111117893"/>
      <name val="B Mitra"/>
      <charset val="178"/>
    </font>
    <font>
      <sz val="16"/>
      <color theme="1"/>
      <name val="B Mitra"/>
      <charset val="178"/>
    </font>
    <font>
      <b/>
      <sz val="12"/>
      <color theme="1"/>
      <name val="B Mitra"/>
      <charset val="178"/>
    </font>
    <font>
      <sz val="10"/>
      <color rgb="FF000000"/>
      <name val="Arial"/>
    </font>
    <font>
      <sz val="14"/>
      <color theme="1"/>
      <name val="B Yekan"/>
      <charset val="178"/>
    </font>
    <font>
      <b/>
      <sz val="14"/>
      <color theme="1"/>
      <name val="B Yekan"/>
      <charset val="178"/>
    </font>
    <font>
      <sz val="8"/>
      <name val="Arial"/>
    </font>
    <font>
      <sz val="18"/>
      <color theme="1"/>
      <name val="B Yekan"/>
      <charset val="178"/>
    </font>
    <font>
      <sz val="20"/>
      <color rgb="FFFF0000"/>
      <name val="B Mitra"/>
      <charset val="178"/>
    </font>
    <font>
      <sz val="20"/>
      <color theme="1"/>
      <name val="B Mitra"/>
      <charset val="178"/>
    </font>
    <font>
      <sz val="18"/>
      <color rgb="FFFF0000"/>
      <name val="B Nazanin"/>
      <charset val="178"/>
    </font>
    <font>
      <sz val="18"/>
      <name val="B Nazanin"/>
      <charset val="178"/>
    </font>
    <font>
      <b/>
      <sz val="12"/>
      <color theme="1"/>
      <name val="B Yekan"/>
      <charset val="178"/>
    </font>
    <font>
      <sz val="14"/>
      <color rgb="FF000000"/>
      <name val="Arial"/>
      <family val="2"/>
    </font>
    <font>
      <b/>
      <sz val="12"/>
      <color rgb="FFFF0000"/>
      <name val="B Mitra"/>
      <charset val="178"/>
    </font>
    <font>
      <sz val="10"/>
      <color theme="1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rgb="FFE4E8F3"/>
        <bgColor rgb="FFE4E8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E4E8F3"/>
      </patternFill>
    </fill>
    <fill>
      <patternFill patternType="solid">
        <fgColor theme="5" tint="0.59999389629810485"/>
        <bgColor rgb="FFE4E8F3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797"/>
        <bgColor indexed="64"/>
      </patternFill>
    </fill>
  </fills>
  <borders count="10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medium">
        <color theme="1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medium">
        <color theme="1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/>
      <diagonal/>
    </border>
    <border>
      <left style="thin">
        <color rgb="FF999999"/>
      </left>
      <right style="thin">
        <color rgb="FF999999"/>
      </right>
      <top/>
      <bottom style="medium">
        <color theme="1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indexed="64"/>
      </bottom>
      <diagonal/>
    </border>
    <border>
      <left style="thin">
        <color rgb="FF999999"/>
      </left>
      <right/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 style="medium">
        <color indexed="64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theme="1"/>
      </top>
      <bottom style="thin">
        <color rgb="FF999999"/>
      </bottom>
      <diagonal/>
    </border>
    <border>
      <left style="thin">
        <color rgb="FF999999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999999"/>
      </left>
      <right style="thin">
        <color rgb="FF999999"/>
      </right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medium">
        <color theme="1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/>
      <diagonal/>
    </border>
    <border>
      <left style="thin">
        <color rgb="FF99999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/>
      <right/>
      <top style="medium">
        <color indexed="64"/>
      </top>
      <bottom/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medium">
        <color theme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/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ck">
        <color indexed="64"/>
      </right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ck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/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28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8" xfId="0" applyBorder="1"/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0" borderId="28" xfId="0" applyFont="1" applyBorder="1"/>
    <xf numFmtId="0" fontId="13" fillId="0" borderId="0" xfId="0" applyFont="1"/>
    <xf numFmtId="0" fontId="6" fillId="5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49" fontId="5" fillId="5" borderId="9" xfId="0" applyNumberFormat="1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49" fontId="6" fillId="5" borderId="10" xfId="0" applyNumberFormat="1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0" xfId="0" applyFont="1"/>
    <xf numFmtId="0" fontId="6" fillId="5" borderId="6" xfId="0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49" fontId="6" fillId="5" borderId="8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1" fontId="11" fillId="0" borderId="32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164" fontId="16" fillId="9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6" borderId="42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16" fillId="5" borderId="46" xfId="0" applyFont="1" applyFill="1" applyBorder="1" applyAlignment="1">
      <alignment horizontal="center" vertical="center"/>
    </xf>
    <xf numFmtId="49" fontId="5" fillId="5" borderId="47" xfId="0" applyNumberFormat="1" applyFont="1" applyFill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1" borderId="54" xfId="0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/>
    </xf>
    <xf numFmtId="0" fontId="9" fillId="11" borderId="59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8" fillId="12" borderId="32" xfId="0" applyFont="1" applyFill="1" applyBorder="1" applyAlignment="1">
      <alignment horizontal="center" vertical="center"/>
    </xf>
    <xf numFmtId="1" fontId="11" fillId="0" borderId="61" xfId="0" applyNumberFormat="1" applyFont="1" applyBorder="1" applyAlignment="1">
      <alignment horizontal="center" vertical="center"/>
    </xf>
    <xf numFmtId="3" fontId="11" fillId="0" borderId="32" xfId="0" applyNumberFormat="1" applyFont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3" fontId="11" fillId="13" borderId="32" xfId="0" applyNumberFormat="1" applyFont="1" applyFill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23" fillId="14" borderId="64" xfId="0" applyFont="1" applyFill="1" applyBorder="1" applyAlignment="1">
      <alignment vertical="center"/>
    </xf>
    <xf numFmtId="0" fontId="23" fillId="14" borderId="66" xfId="0" applyFont="1" applyFill="1" applyBorder="1" applyAlignment="1">
      <alignment horizontal="center" vertical="center"/>
    </xf>
    <xf numFmtId="0" fontId="23" fillId="0" borderId="67" xfId="0" applyFont="1" applyBorder="1" applyAlignment="1">
      <alignment vertical="center"/>
    </xf>
    <xf numFmtId="49" fontId="23" fillId="0" borderId="66" xfId="0" applyNumberFormat="1" applyFont="1" applyBorder="1" applyAlignment="1">
      <alignment vertical="center"/>
    </xf>
    <xf numFmtId="0" fontId="23" fillId="0" borderId="68" xfId="0" applyFont="1" applyBorder="1" applyAlignment="1">
      <alignment vertical="center"/>
    </xf>
    <xf numFmtId="165" fontId="23" fillId="0" borderId="69" xfId="2" applyNumberFormat="1" applyFont="1" applyBorder="1" applyAlignment="1">
      <alignment horizontal="center" vertical="center"/>
    </xf>
    <xf numFmtId="0" fontId="23" fillId="0" borderId="71" xfId="0" applyFont="1" applyBorder="1" applyAlignment="1">
      <alignment vertical="center"/>
    </xf>
    <xf numFmtId="49" fontId="23" fillId="0" borderId="69" xfId="0" applyNumberFormat="1" applyFont="1" applyBorder="1" applyAlignment="1">
      <alignment vertical="center"/>
    </xf>
    <xf numFmtId="0" fontId="23" fillId="14" borderId="72" xfId="0" applyFont="1" applyFill="1" applyBorder="1" applyAlignment="1">
      <alignment vertical="center"/>
    </xf>
    <xf numFmtId="165" fontId="23" fillId="14" borderId="74" xfId="2" applyNumberFormat="1" applyFont="1" applyFill="1" applyBorder="1" applyAlignment="1">
      <alignment horizontal="center" vertical="center"/>
    </xf>
    <xf numFmtId="0" fontId="23" fillId="0" borderId="76" xfId="0" applyFont="1" applyBorder="1" applyAlignment="1">
      <alignment vertical="center"/>
    </xf>
    <xf numFmtId="49" fontId="23" fillId="0" borderId="74" xfId="0" applyNumberFormat="1" applyFont="1" applyBorder="1" applyAlignment="1">
      <alignment vertical="center"/>
    </xf>
    <xf numFmtId="0" fontId="24" fillId="14" borderId="77" xfId="0" applyFont="1" applyFill="1" applyBorder="1" applyAlignment="1">
      <alignment horizontal="center" vertical="center"/>
    </xf>
    <xf numFmtId="0" fontId="24" fillId="14" borderId="78" xfId="0" applyFont="1" applyFill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/>
    </xf>
    <xf numFmtId="49" fontId="23" fillId="0" borderId="73" xfId="0" applyNumberFormat="1" applyFont="1" applyBorder="1" applyAlignment="1">
      <alignment horizontal="center" vertical="center"/>
    </xf>
    <xf numFmtId="165" fontId="23" fillId="14" borderId="33" xfId="2" applyNumberFormat="1" applyFont="1" applyFill="1" applyBorder="1" applyAlignment="1">
      <alignment horizontal="center" vertical="center"/>
    </xf>
    <xf numFmtId="165" fontId="23" fillId="14" borderId="7" xfId="2" applyNumberFormat="1" applyFont="1" applyFill="1" applyBorder="1" applyAlignment="1">
      <alignment horizontal="center" vertical="center"/>
    </xf>
    <xf numFmtId="166" fontId="23" fillId="15" borderId="7" xfId="2" applyNumberFormat="1" applyFont="1" applyFill="1" applyBorder="1" applyAlignment="1">
      <alignment horizontal="center" vertical="center"/>
    </xf>
    <xf numFmtId="166" fontId="23" fillId="16" borderId="7" xfId="2" applyNumberFormat="1" applyFont="1" applyFill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17" borderId="3" xfId="0" applyFont="1" applyFill="1" applyBorder="1" applyAlignment="1">
      <alignment horizontal="center" vertical="center"/>
    </xf>
    <xf numFmtId="3" fontId="11" fillId="18" borderId="32" xfId="0" applyNumberFormat="1" applyFont="1" applyFill="1" applyBorder="1" applyAlignment="1">
      <alignment horizontal="center" vertical="center"/>
    </xf>
    <xf numFmtId="1" fontId="11" fillId="20" borderId="62" xfId="0" applyNumberFormat="1" applyFont="1" applyFill="1" applyBorder="1" applyAlignment="1">
      <alignment horizontal="center" vertical="center"/>
    </xf>
    <xf numFmtId="1" fontId="11" fillId="20" borderId="32" xfId="0" applyNumberFormat="1" applyFont="1" applyFill="1" applyBorder="1" applyAlignment="1">
      <alignment horizontal="center" vertical="center"/>
    </xf>
    <xf numFmtId="3" fontId="11" fillId="20" borderId="32" xfId="0" applyNumberFormat="1" applyFont="1" applyFill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3" fontId="11" fillId="0" borderId="90" xfId="3" applyNumberFormat="1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28" fillId="0" borderId="92" xfId="0" applyFont="1" applyBorder="1" applyAlignment="1">
      <alignment horizontal="center" vertical="center"/>
    </xf>
    <xf numFmtId="3" fontId="11" fillId="0" borderId="93" xfId="3" applyNumberFormat="1" applyFont="1" applyBorder="1" applyAlignment="1">
      <alignment horizontal="center" vertical="center"/>
    </xf>
    <xf numFmtId="0" fontId="18" fillId="0" borderId="93" xfId="0" applyFont="1" applyBorder="1" applyAlignment="1">
      <alignment horizontal="center" vertical="center"/>
    </xf>
    <xf numFmtId="0" fontId="18" fillId="0" borderId="94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5" fontId="23" fillId="16" borderId="7" xfId="2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65" fontId="23" fillId="16" borderId="73" xfId="2" applyNumberFormat="1" applyFont="1" applyFill="1" applyBorder="1" applyAlignment="1">
      <alignment horizontal="center" vertical="center"/>
    </xf>
    <xf numFmtId="0" fontId="23" fillId="0" borderId="95" xfId="0" applyFont="1" applyBorder="1" applyAlignment="1">
      <alignment horizontal="center" vertical="center"/>
    </xf>
    <xf numFmtId="49" fontId="23" fillId="0" borderId="96" xfId="0" applyNumberFormat="1" applyFont="1" applyBorder="1" applyAlignment="1">
      <alignment horizontal="center" vertical="center"/>
    </xf>
    <xf numFmtId="165" fontId="23" fillId="16" borderId="96" xfId="2" applyNumberFormat="1" applyFont="1" applyFill="1" applyBorder="1" applyAlignment="1">
      <alignment horizontal="center" vertical="center"/>
    </xf>
    <xf numFmtId="3" fontId="11" fillId="18" borderId="62" xfId="0" applyNumberFormat="1" applyFont="1" applyFill="1" applyBorder="1" applyAlignment="1">
      <alignment horizontal="center" vertical="center"/>
    </xf>
    <xf numFmtId="3" fontId="11" fillId="20" borderId="62" xfId="0" applyNumberFormat="1" applyFont="1" applyFill="1" applyBorder="1" applyAlignment="1">
      <alignment horizontal="center" vertical="center"/>
    </xf>
    <xf numFmtId="3" fontId="11" fillId="13" borderId="62" xfId="0" applyNumberFormat="1" applyFont="1" applyFill="1" applyBorder="1" applyAlignment="1">
      <alignment horizontal="center" vertical="center"/>
    </xf>
    <xf numFmtId="3" fontId="11" fillId="4" borderId="62" xfId="0" applyNumberFormat="1" applyFont="1" applyFill="1" applyBorder="1" applyAlignment="1">
      <alignment horizontal="center" vertical="center"/>
    </xf>
    <xf numFmtId="3" fontId="11" fillId="20" borderId="99" xfId="0" applyNumberFormat="1" applyFont="1" applyFill="1" applyBorder="1" applyAlignment="1">
      <alignment horizontal="center" vertical="center"/>
    </xf>
    <xf numFmtId="3" fontId="11" fillId="13" borderId="99" xfId="0" applyNumberFormat="1" applyFont="1" applyFill="1" applyBorder="1" applyAlignment="1">
      <alignment horizontal="center" vertical="center"/>
    </xf>
    <xf numFmtId="3" fontId="11" fillId="12" borderId="99" xfId="0" applyNumberFormat="1" applyFont="1" applyFill="1" applyBorder="1" applyAlignment="1">
      <alignment horizontal="center" vertical="center"/>
    </xf>
    <xf numFmtId="3" fontId="11" fillId="18" borderId="99" xfId="0" applyNumberFormat="1" applyFont="1" applyFill="1" applyBorder="1" applyAlignment="1">
      <alignment horizontal="center" vertical="center"/>
    </xf>
    <xf numFmtId="0" fontId="33" fillId="5" borderId="1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29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5" borderId="36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horizontal="center" vertical="center"/>
    </xf>
    <xf numFmtId="0" fontId="11" fillId="5" borderId="39" xfId="0" applyFont="1" applyFill="1" applyBorder="1" applyAlignment="1">
      <alignment horizontal="center" vertical="center"/>
    </xf>
    <xf numFmtId="1" fontId="11" fillId="8" borderId="40" xfId="0" applyNumberFormat="1" applyFont="1" applyFill="1" applyBorder="1" applyAlignment="1">
      <alignment horizontal="center" vertical="center"/>
    </xf>
    <xf numFmtId="0" fontId="11" fillId="8" borderId="4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16" fillId="19" borderId="85" xfId="0" applyFont="1" applyFill="1" applyBorder="1" applyAlignment="1">
      <alignment horizontal="center" vertical="center"/>
    </xf>
    <xf numFmtId="0" fontId="16" fillId="19" borderId="86" xfId="0" applyFont="1" applyFill="1" applyBorder="1" applyAlignment="1">
      <alignment horizontal="center" vertical="center"/>
    </xf>
    <xf numFmtId="0" fontId="16" fillId="19" borderId="87" xfId="0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23" fillId="0" borderId="7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6" fillId="0" borderId="72" xfId="0" applyFont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top"/>
    </xf>
    <xf numFmtId="0" fontId="23" fillId="0" borderId="37" xfId="0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3" fillId="0" borderId="70" xfId="0" applyFont="1" applyBorder="1" applyAlignment="1">
      <alignment horizontal="center" vertical="top"/>
    </xf>
    <xf numFmtId="0" fontId="23" fillId="0" borderId="75" xfId="0" applyFont="1" applyBorder="1" applyAlignment="1">
      <alignment horizontal="center" vertical="top"/>
    </xf>
    <xf numFmtId="0" fontId="23" fillId="0" borderId="39" xfId="0" applyFont="1" applyBorder="1" applyAlignment="1">
      <alignment horizontal="center" vertical="top"/>
    </xf>
    <xf numFmtId="0" fontId="24" fillId="14" borderId="78" xfId="0" applyFont="1" applyFill="1" applyBorder="1" applyAlignment="1">
      <alignment horizontal="center" vertical="center"/>
    </xf>
    <xf numFmtId="0" fontId="24" fillId="14" borderId="79" xfId="0" applyFont="1" applyFill="1" applyBorder="1" applyAlignment="1">
      <alignment horizontal="center" vertical="center"/>
    </xf>
    <xf numFmtId="0" fontId="31" fillId="0" borderId="7" xfId="0" applyFont="1" applyBorder="1" applyAlignment="1">
      <alignment vertical="center"/>
    </xf>
    <xf numFmtId="0" fontId="23" fillId="0" borderId="97" xfId="0" applyFont="1" applyBorder="1" applyAlignment="1">
      <alignment horizontal="right" vertical="center"/>
    </xf>
    <xf numFmtId="0" fontId="23" fillId="0" borderId="84" xfId="0" applyFont="1" applyBorder="1" applyAlignment="1">
      <alignment horizontal="right" vertical="center"/>
    </xf>
    <xf numFmtId="0" fontId="23" fillId="0" borderId="71" xfId="0" applyFont="1" applyBorder="1" applyAlignment="1">
      <alignment horizontal="right" vertical="center"/>
    </xf>
    <xf numFmtId="0" fontId="23" fillId="0" borderId="97" xfId="0" applyFont="1" applyBorder="1" applyAlignment="1">
      <alignment horizontal="center" vertical="center"/>
    </xf>
    <xf numFmtId="0" fontId="23" fillId="0" borderId="98" xfId="0" applyFont="1" applyBorder="1" applyAlignment="1">
      <alignment horizontal="center" vertical="center"/>
    </xf>
    <xf numFmtId="0" fontId="23" fillId="0" borderId="73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0" fontId="23" fillId="0" borderId="68" xfId="0" applyFont="1" applyBorder="1" applyAlignment="1">
      <alignment horizontal="right" vertical="top"/>
    </xf>
    <xf numFmtId="0" fontId="23" fillId="0" borderId="7" xfId="0" applyFont="1" applyBorder="1" applyAlignment="1">
      <alignment horizontal="right" vertical="top"/>
    </xf>
    <xf numFmtId="0" fontId="23" fillId="0" borderId="72" xfId="0" applyFont="1" applyBorder="1" applyAlignment="1">
      <alignment horizontal="right" vertical="top"/>
    </xf>
    <xf numFmtId="0" fontId="23" fillId="0" borderId="73" xfId="0" applyFont="1" applyBorder="1" applyAlignment="1">
      <alignment horizontal="right" vertical="top"/>
    </xf>
    <xf numFmtId="0" fontId="23" fillId="0" borderId="69" xfId="0" applyFont="1" applyBorder="1" applyAlignment="1">
      <alignment horizontal="right" vertical="top"/>
    </xf>
    <xf numFmtId="0" fontId="23" fillId="0" borderId="74" xfId="0" applyFont="1" applyBorder="1" applyAlignment="1">
      <alignment horizontal="right" vertical="top"/>
    </xf>
    <xf numFmtId="0" fontId="23" fillId="14" borderId="80" xfId="0" applyFont="1" applyFill="1" applyBorder="1" applyAlignment="1">
      <alignment horizontal="center" vertical="center"/>
    </xf>
    <xf numFmtId="0" fontId="23" fillId="14" borderId="81" xfId="0" applyFont="1" applyFill="1" applyBorder="1" applyAlignment="1">
      <alignment horizontal="center" vertical="center"/>
    </xf>
    <xf numFmtId="0" fontId="23" fillId="14" borderId="67" xfId="0" applyFont="1" applyFill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0" fontId="23" fillId="14" borderId="83" xfId="0" applyFont="1" applyFill="1" applyBorder="1" applyAlignment="1">
      <alignment horizontal="center" vertical="center"/>
    </xf>
    <xf numFmtId="0" fontId="23" fillId="14" borderId="84" xfId="0" applyFont="1" applyFill="1" applyBorder="1" applyAlignment="1">
      <alignment horizontal="center" vertical="center"/>
    </xf>
    <xf numFmtId="0" fontId="23" fillId="14" borderId="7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16722476-9618-4E62-8D65-D063F36A3EA8}"/>
    <cellStyle name="Percent" xfId="3" builtinId="5"/>
  </cellStyles>
  <dxfs count="12"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colors>
    <mruColors>
      <color rgb="FFFF9797"/>
      <color rgb="FFFF7C80"/>
      <color rgb="FF00CC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K93"/>
  <sheetViews>
    <sheetView showGridLines="0" rightToLeft="1" zoomScale="131" zoomScaleNormal="131" workbookViewId="0">
      <pane xSplit="9" ySplit="3" topLeftCell="J34" activePane="bottomRight" state="frozen"/>
      <selection pane="topRight" activeCell="J1" sqref="J1"/>
      <selection pane="bottomLeft" activeCell="A4" sqref="A4"/>
      <selection pane="bottomRight" activeCell="B40" sqref="B40"/>
    </sheetView>
  </sheetViews>
  <sheetFormatPr defaultColWidth="12.6640625" defaultRowHeight="15.75" customHeight="1" x14ac:dyDescent="0.25"/>
  <cols>
    <col min="1" max="1" width="6.6640625" bestFit="1" customWidth="1"/>
    <col min="2" max="2" width="5.109375" style="1" bestFit="1" customWidth="1"/>
    <col min="3" max="3" width="21.88671875" style="1" bestFit="1" customWidth="1"/>
    <col min="4" max="4" width="16.33203125" style="1" customWidth="1"/>
    <col min="5" max="5" width="11.5546875" style="1" customWidth="1"/>
    <col min="6" max="6" width="15.33203125" style="1" customWidth="1"/>
    <col min="7" max="7" width="10.109375" style="1" customWidth="1"/>
    <col min="8" max="8" width="15.5546875" style="1" bestFit="1" customWidth="1"/>
    <col min="9" max="9" width="14.33203125" style="2" bestFit="1" customWidth="1"/>
    <col min="10" max="10" width="78.33203125" style="1" customWidth="1"/>
    <col min="11" max="11" width="12.6640625" style="3"/>
  </cols>
  <sheetData>
    <row r="1" spans="1:11" ht="27.75" customHeight="1" x14ac:dyDescent="0.25">
      <c r="A1" s="210" t="s">
        <v>148</v>
      </c>
      <c r="B1" s="210"/>
      <c r="C1" s="210"/>
      <c r="D1" s="210"/>
      <c r="E1" s="210"/>
      <c r="F1" s="210"/>
      <c r="G1" s="210"/>
      <c r="H1" s="210"/>
      <c r="I1" s="210"/>
      <c r="J1" s="210"/>
      <c r="K1"/>
    </row>
    <row r="2" spans="1:11" ht="18" customHeight="1" x14ac:dyDescent="0.25">
      <c r="A2" s="211"/>
      <c r="B2" s="211"/>
      <c r="C2" s="211"/>
      <c r="D2" s="211"/>
      <c r="E2" s="211"/>
      <c r="F2" s="211"/>
      <c r="G2" s="211"/>
      <c r="H2" s="211"/>
      <c r="I2" s="211"/>
      <c r="J2" s="211"/>
    </row>
    <row r="3" spans="1:11" ht="19.95" customHeight="1" x14ac:dyDescent="0.25">
      <c r="A3" s="29" t="s">
        <v>149</v>
      </c>
      <c r="B3" s="29" t="s">
        <v>0</v>
      </c>
      <c r="C3" s="29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30" t="s">
        <v>103</v>
      </c>
      <c r="J3" s="31" t="s">
        <v>8</v>
      </c>
    </row>
    <row r="4" spans="1:11" ht="19.95" customHeight="1" x14ac:dyDescent="0.25">
      <c r="A4" s="82">
        <v>1</v>
      </c>
      <c r="B4" s="82">
        <v>1</v>
      </c>
      <c r="C4" s="70" t="s">
        <v>155</v>
      </c>
      <c r="D4" s="104" t="s">
        <v>165</v>
      </c>
      <c r="E4" s="215">
        <v>1</v>
      </c>
      <c r="F4" s="29"/>
      <c r="G4" s="29"/>
      <c r="H4" s="29"/>
      <c r="I4" s="30"/>
      <c r="J4" s="31"/>
    </row>
    <row r="5" spans="1:11" s="56" customFormat="1" ht="19.95" customHeight="1" x14ac:dyDescent="0.25">
      <c r="A5" s="84">
        <v>2</v>
      </c>
      <c r="B5" s="84">
        <v>24</v>
      </c>
      <c r="C5" s="37" t="s">
        <v>38</v>
      </c>
      <c r="D5" s="37" t="s">
        <v>45</v>
      </c>
      <c r="E5" s="204"/>
      <c r="F5" s="37"/>
      <c r="G5" s="37"/>
      <c r="H5" s="37"/>
      <c r="I5" s="38"/>
      <c r="J5" s="39"/>
      <c r="K5" s="55"/>
    </row>
    <row r="6" spans="1:11" ht="19.95" customHeight="1" thickBot="1" x14ac:dyDescent="0.3">
      <c r="A6" s="85">
        <v>3</v>
      </c>
      <c r="B6" s="85">
        <v>76</v>
      </c>
      <c r="C6" s="7" t="s">
        <v>46</v>
      </c>
      <c r="D6" s="7" t="s">
        <v>166</v>
      </c>
      <c r="E6" s="209"/>
      <c r="F6" s="7"/>
      <c r="G6" s="7"/>
      <c r="H6" s="7">
        <v>9137239267</v>
      </c>
      <c r="I6" s="8"/>
      <c r="J6" s="9"/>
    </row>
    <row r="7" spans="1:11" s="56" customFormat="1" ht="19.95" customHeight="1" x14ac:dyDescent="0.25">
      <c r="A7" s="84">
        <v>1</v>
      </c>
      <c r="B7" s="84">
        <v>42</v>
      </c>
      <c r="C7" s="37" t="s">
        <v>68</v>
      </c>
      <c r="D7" s="203" t="s">
        <v>70</v>
      </c>
      <c r="E7" s="212" t="s">
        <v>79</v>
      </c>
      <c r="F7" s="202" t="s">
        <v>84</v>
      </c>
      <c r="G7" s="37">
        <v>2</v>
      </c>
      <c r="H7" s="37">
        <v>9197257822</v>
      </c>
      <c r="I7" s="66" t="s">
        <v>131</v>
      </c>
      <c r="J7" s="39"/>
      <c r="K7" s="55"/>
    </row>
    <row r="8" spans="1:11" ht="19.95" customHeight="1" x14ac:dyDescent="0.25">
      <c r="A8" s="86">
        <v>2</v>
      </c>
      <c r="B8" s="86">
        <v>31</v>
      </c>
      <c r="C8" s="11" t="s">
        <v>120</v>
      </c>
      <c r="D8" s="204"/>
      <c r="E8" s="213"/>
      <c r="F8" s="200"/>
      <c r="G8" s="11"/>
      <c r="H8" s="11"/>
      <c r="I8" s="12" t="s">
        <v>350</v>
      </c>
      <c r="J8" s="6"/>
    </row>
    <row r="9" spans="1:11" ht="19.95" customHeight="1" x14ac:dyDescent="0.25">
      <c r="A9" s="87">
        <v>3</v>
      </c>
      <c r="B9" s="87">
        <v>87</v>
      </c>
      <c r="C9" s="4" t="s">
        <v>85</v>
      </c>
      <c r="D9" s="204"/>
      <c r="E9" s="213"/>
      <c r="F9" s="200"/>
      <c r="G9" s="4"/>
      <c r="H9" s="4"/>
      <c r="I9" s="12">
        <v>2292888378</v>
      </c>
      <c r="J9" s="6"/>
    </row>
    <row r="10" spans="1:11" ht="19.95" customHeight="1" x14ac:dyDescent="0.25">
      <c r="A10" s="87">
        <v>4</v>
      </c>
      <c r="B10" s="87"/>
      <c r="C10" s="4" t="s">
        <v>121</v>
      </c>
      <c r="D10" s="204"/>
      <c r="E10" s="213"/>
      <c r="F10" s="200"/>
      <c r="G10" s="4"/>
      <c r="H10" s="13">
        <v>9125571611</v>
      </c>
      <c r="I10" s="12">
        <v>81004583</v>
      </c>
      <c r="J10" s="6"/>
    </row>
    <row r="11" spans="1:11" ht="19.95" customHeight="1" x14ac:dyDescent="0.25">
      <c r="A11" s="87">
        <v>5</v>
      </c>
      <c r="B11" s="87">
        <v>126</v>
      </c>
      <c r="C11" s="4" t="s">
        <v>100</v>
      </c>
      <c r="D11" s="204"/>
      <c r="E11" s="213"/>
      <c r="F11" s="200"/>
      <c r="G11" s="4"/>
      <c r="H11" s="4"/>
      <c r="I11" s="12"/>
      <c r="J11" s="6"/>
    </row>
    <row r="12" spans="1:11" ht="19.95" customHeight="1" x14ac:dyDescent="0.25">
      <c r="A12" s="87">
        <v>6</v>
      </c>
      <c r="B12" s="87">
        <v>90</v>
      </c>
      <c r="C12" s="4" t="s">
        <v>86</v>
      </c>
      <c r="D12" s="204"/>
      <c r="E12" s="213"/>
      <c r="F12" s="200"/>
      <c r="G12" s="4"/>
      <c r="H12" s="4"/>
      <c r="I12" s="5">
        <v>10049770</v>
      </c>
      <c r="J12" s="6"/>
    </row>
    <row r="13" spans="1:11" ht="19.95" customHeight="1" thickBot="1" x14ac:dyDescent="0.3">
      <c r="A13" s="88">
        <v>7</v>
      </c>
      <c r="B13" s="88">
        <v>85</v>
      </c>
      <c r="C13" s="14" t="s">
        <v>74</v>
      </c>
      <c r="D13" s="209"/>
      <c r="E13" s="214"/>
      <c r="F13" s="201"/>
      <c r="G13" s="14" t="s">
        <v>77</v>
      </c>
      <c r="H13" s="14"/>
      <c r="I13" s="15" t="s">
        <v>132</v>
      </c>
      <c r="J13" s="16"/>
    </row>
    <row r="14" spans="1:11" s="56" customFormat="1" ht="19.95" customHeight="1" x14ac:dyDescent="0.25">
      <c r="A14" s="89">
        <v>1</v>
      </c>
      <c r="B14" s="89">
        <v>55</v>
      </c>
      <c r="C14" s="59" t="s">
        <v>37</v>
      </c>
      <c r="D14" s="203" t="s">
        <v>38</v>
      </c>
      <c r="E14" s="203" t="s">
        <v>58</v>
      </c>
      <c r="F14" s="59">
        <v>33</v>
      </c>
      <c r="G14" s="59">
        <v>1</v>
      </c>
      <c r="H14" s="59"/>
      <c r="I14" s="65"/>
      <c r="J14" s="62"/>
      <c r="K14" s="55"/>
    </row>
    <row r="15" spans="1:11" ht="19.95" customHeight="1" x14ac:dyDescent="0.25">
      <c r="A15" s="87">
        <v>2</v>
      </c>
      <c r="B15" s="87">
        <v>23</v>
      </c>
      <c r="C15" s="4" t="s">
        <v>39</v>
      </c>
      <c r="D15" s="204"/>
      <c r="E15" s="204"/>
      <c r="F15" s="4">
        <v>20</v>
      </c>
      <c r="G15" s="4"/>
      <c r="H15" s="4">
        <v>9352572223</v>
      </c>
      <c r="I15" s="5">
        <v>21518009</v>
      </c>
      <c r="J15" s="6"/>
    </row>
    <row r="16" spans="1:11" ht="19.95" customHeight="1" x14ac:dyDescent="0.25">
      <c r="A16" s="90">
        <v>3</v>
      </c>
      <c r="B16" s="90">
        <v>50</v>
      </c>
      <c r="C16" s="17" t="s">
        <v>40</v>
      </c>
      <c r="D16" s="204"/>
      <c r="E16" s="204"/>
      <c r="F16" s="17">
        <v>29</v>
      </c>
      <c r="G16" s="17"/>
      <c r="H16" s="198">
        <v>9198902285</v>
      </c>
      <c r="I16" s="10" t="s">
        <v>353</v>
      </c>
      <c r="J16" s="18"/>
    </row>
    <row r="17" spans="1:11" ht="19.95" customHeight="1" x14ac:dyDescent="0.25">
      <c r="A17" s="87">
        <v>4</v>
      </c>
      <c r="B17" s="87">
        <v>81</v>
      </c>
      <c r="C17" s="79" t="s">
        <v>41</v>
      </c>
      <c r="D17" s="204"/>
      <c r="E17" s="204"/>
      <c r="F17" s="4">
        <v>25</v>
      </c>
      <c r="G17" s="4"/>
      <c r="H17" s="4"/>
      <c r="I17" s="5"/>
      <c r="J17" s="6"/>
    </row>
    <row r="18" spans="1:11" ht="19.95" customHeight="1" x14ac:dyDescent="0.25">
      <c r="A18" s="87">
        <v>5</v>
      </c>
      <c r="B18" s="87">
        <v>20</v>
      </c>
      <c r="C18" s="80" t="s">
        <v>42</v>
      </c>
      <c r="D18" s="204"/>
      <c r="E18" s="204"/>
      <c r="F18" s="4"/>
      <c r="G18" s="4"/>
      <c r="H18" s="4"/>
      <c r="I18" s="5"/>
      <c r="J18" s="6" t="s">
        <v>154</v>
      </c>
    </row>
    <row r="19" spans="1:11" ht="19.95" customHeight="1" x14ac:dyDescent="0.25">
      <c r="A19" s="87">
        <v>8</v>
      </c>
      <c r="B19" s="87">
        <v>11</v>
      </c>
      <c r="C19" s="4" t="s">
        <v>71</v>
      </c>
      <c r="D19" s="204"/>
      <c r="E19" s="204"/>
      <c r="F19" s="4"/>
      <c r="G19" s="4"/>
      <c r="H19" s="4"/>
      <c r="I19" s="5"/>
      <c r="J19" s="6"/>
    </row>
    <row r="20" spans="1:11" ht="19.95" customHeight="1" x14ac:dyDescent="0.25">
      <c r="A20" s="87">
        <v>9</v>
      </c>
      <c r="B20" s="87">
        <v>36</v>
      </c>
      <c r="C20" s="67" t="s">
        <v>43</v>
      </c>
      <c r="D20" s="204"/>
      <c r="E20" s="204"/>
      <c r="F20" s="4"/>
      <c r="G20" s="4"/>
      <c r="H20" s="4">
        <v>9384270209</v>
      </c>
      <c r="I20" s="10" t="s">
        <v>354</v>
      </c>
      <c r="J20" s="6"/>
    </row>
    <row r="21" spans="1:11" ht="19.95" customHeight="1" x14ac:dyDescent="0.25">
      <c r="A21" s="87">
        <v>10</v>
      </c>
      <c r="B21" s="87">
        <v>38</v>
      </c>
      <c r="C21" s="4" t="s">
        <v>44</v>
      </c>
      <c r="D21" s="204"/>
      <c r="E21" s="204"/>
      <c r="F21" s="4"/>
      <c r="G21" s="4"/>
      <c r="H21" s="4"/>
      <c r="I21" s="5"/>
      <c r="J21" s="6"/>
    </row>
    <row r="22" spans="1:11" ht="19.95" customHeight="1" x14ac:dyDescent="0.25">
      <c r="A22" s="88">
        <v>11</v>
      </c>
      <c r="B22" s="88">
        <v>67</v>
      </c>
      <c r="C22" s="14" t="s">
        <v>62</v>
      </c>
      <c r="D22" s="204"/>
      <c r="E22" s="204"/>
      <c r="F22" s="14"/>
      <c r="G22" s="14"/>
      <c r="H22" s="14"/>
      <c r="I22" s="19"/>
      <c r="J22" s="20"/>
    </row>
    <row r="23" spans="1:11" ht="19.95" customHeight="1" x14ac:dyDescent="0.25">
      <c r="A23" s="88">
        <v>12</v>
      </c>
      <c r="B23" s="88">
        <v>73</v>
      </c>
      <c r="C23" s="14" t="s">
        <v>65</v>
      </c>
      <c r="D23" s="204"/>
      <c r="E23" s="204"/>
      <c r="F23" s="14"/>
      <c r="G23" s="14"/>
      <c r="H23" s="14"/>
      <c r="I23" s="19"/>
      <c r="J23" s="20"/>
    </row>
    <row r="24" spans="1:11" ht="19.95" customHeight="1" x14ac:dyDescent="0.25">
      <c r="A24" s="88">
        <v>13</v>
      </c>
      <c r="B24" s="88">
        <v>75</v>
      </c>
      <c r="C24" s="68" t="s">
        <v>66</v>
      </c>
      <c r="D24" s="204"/>
      <c r="E24" s="204"/>
      <c r="F24" s="14"/>
      <c r="G24" s="14"/>
      <c r="H24" s="14"/>
      <c r="I24" s="19"/>
      <c r="J24" s="20"/>
    </row>
    <row r="25" spans="1:11" ht="19.95" customHeight="1" x14ac:dyDescent="0.25">
      <c r="A25" s="87">
        <v>14</v>
      </c>
      <c r="B25" s="87">
        <v>28</v>
      </c>
      <c r="C25" s="4" t="s">
        <v>95</v>
      </c>
      <c r="D25" s="204"/>
      <c r="E25" s="204"/>
      <c r="F25" s="4"/>
      <c r="G25" s="4"/>
      <c r="H25" s="4"/>
      <c r="I25" s="5"/>
      <c r="J25" s="6"/>
    </row>
    <row r="26" spans="1:11" ht="19.95" customHeight="1" x14ac:dyDescent="0.25">
      <c r="A26" s="88">
        <v>16</v>
      </c>
      <c r="B26" s="88"/>
      <c r="C26" s="11" t="s">
        <v>156</v>
      </c>
      <c r="D26" s="204"/>
      <c r="E26" s="204"/>
      <c r="F26" s="14"/>
      <c r="G26" s="14"/>
      <c r="H26" s="14"/>
      <c r="I26" s="19"/>
      <c r="J26" s="20" t="s">
        <v>157</v>
      </c>
    </row>
    <row r="27" spans="1:11" ht="19.95" customHeight="1" x14ac:dyDescent="0.25">
      <c r="A27" s="87">
        <v>19</v>
      </c>
      <c r="B27" s="87">
        <v>54</v>
      </c>
      <c r="C27" s="4" t="s">
        <v>146</v>
      </c>
      <c r="D27" s="204"/>
      <c r="E27" s="204"/>
      <c r="F27" s="4"/>
      <c r="G27" s="4"/>
      <c r="H27" s="6"/>
      <c r="I27" s="5"/>
      <c r="J27" s="21"/>
    </row>
    <row r="28" spans="1:11" ht="19.95" customHeight="1" x14ac:dyDescent="0.25">
      <c r="A28" s="87">
        <v>20</v>
      </c>
      <c r="B28" s="87">
        <v>29</v>
      </c>
      <c r="C28" s="4" t="s">
        <v>333</v>
      </c>
      <c r="D28" s="204"/>
      <c r="E28" s="204"/>
      <c r="F28" s="4"/>
      <c r="G28" s="4"/>
      <c r="H28" s="6"/>
      <c r="I28" s="5"/>
      <c r="J28" s="21"/>
    </row>
    <row r="29" spans="1:11" ht="19.95" customHeight="1" thickBot="1" x14ac:dyDescent="0.3">
      <c r="A29" s="87">
        <v>21</v>
      </c>
      <c r="B29" s="87">
        <v>110</v>
      </c>
      <c r="C29" s="4" t="s">
        <v>147</v>
      </c>
      <c r="D29" s="204"/>
      <c r="E29" s="204"/>
      <c r="F29" s="4"/>
      <c r="G29" s="4"/>
      <c r="H29" s="6"/>
      <c r="I29" s="5"/>
      <c r="J29" s="21"/>
    </row>
    <row r="30" spans="1:11" s="36" customFormat="1" ht="19.95" customHeight="1" x14ac:dyDescent="0.3">
      <c r="A30" s="84">
        <v>1</v>
      </c>
      <c r="B30" s="84">
        <v>39</v>
      </c>
      <c r="C30" s="37" t="s">
        <v>12</v>
      </c>
      <c r="D30" s="203" t="s">
        <v>11</v>
      </c>
      <c r="E30" s="203">
        <v>9</v>
      </c>
      <c r="F30" s="202" t="s">
        <v>151</v>
      </c>
      <c r="G30" s="37">
        <v>1</v>
      </c>
      <c r="H30" s="37">
        <v>9124113687</v>
      </c>
      <c r="I30" s="38" t="s">
        <v>106</v>
      </c>
      <c r="J30" s="39"/>
      <c r="K30" s="35"/>
    </row>
    <row r="31" spans="1:11" ht="20.399999999999999" customHeight="1" x14ac:dyDescent="0.25">
      <c r="A31" s="87">
        <v>2</v>
      </c>
      <c r="B31" s="91">
        <v>3</v>
      </c>
      <c r="C31" s="22" t="s">
        <v>10</v>
      </c>
      <c r="D31" s="204"/>
      <c r="E31" s="204"/>
      <c r="F31" s="200"/>
      <c r="G31" s="22"/>
      <c r="H31" s="22">
        <v>9126452592</v>
      </c>
      <c r="I31" s="19" t="s">
        <v>107</v>
      </c>
      <c r="J31" s="21"/>
    </row>
    <row r="32" spans="1:11" ht="19.95" customHeight="1" x14ac:dyDescent="0.25">
      <c r="A32" s="87">
        <v>3</v>
      </c>
      <c r="B32" s="87">
        <v>19</v>
      </c>
      <c r="C32" s="4" t="s">
        <v>13</v>
      </c>
      <c r="D32" s="204"/>
      <c r="E32" s="204"/>
      <c r="F32" s="200"/>
      <c r="G32" s="4"/>
      <c r="H32" s="4"/>
      <c r="I32" s="19" t="s">
        <v>108</v>
      </c>
      <c r="J32" s="21"/>
    </row>
    <row r="33" spans="1:11" ht="19.95" customHeight="1" x14ac:dyDescent="0.25">
      <c r="A33" s="87">
        <v>4</v>
      </c>
      <c r="B33" s="87">
        <v>35</v>
      </c>
      <c r="C33" s="4" t="s">
        <v>14</v>
      </c>
      <c r="D33" s="204"/>
      <c r="E33" s="204"/>
      <c r="F33" s="200"/>
      <c r="G33" s="4"/>
      <c r="H33" s="4"/>
      <c r="I33" s="19" t="s">
        <v>130</v>
      </c>
      <c r="J33" s="6"/>
    </row>
    <row r="34" spans="1:11" ht="19.95" customHeight="1" x14ac:dyDescent="0.25">
      <c r="A34" s="87">
        <v>5</v>
      </c>
      <c r="B34" s="87">
        <v>111</v>
      </c>
      <c r="C34" s="4" t="s">
        <v>75</v>
      </c>
      <c r="D34" s="204"/>
      <c r="E34" s="204"/>
      <c r="F34" s="200"/>
      <c r="G34" s="4"/>
      <c r="H34" s="4">
        <v>9355374339</v>
      </c>
      <c r="I34" s="19"/>
      <c r="J34" s="6"/>
    </row>
    <row r="35" spans="1:11" ht="19.95" customHeight="1" x14ac:dyDescent="0.25">
      <c r="A35" s="87">
        <v>6</v>
      </c>
      <c r="B35" s="88">
        <v>84</v>
      </c>
      <c r="C35" s="14" t="s">
        <v>73</v>
      </c>
      <c r="D35" s="204"/>
      <c r="E35" s="204"/>
      <c r="F35" s="200"/>
      <c r="G35" s="14"/>
      <c r="H35" s="14"/>
      <c r="I35" s="19"/>
      <c r="J35" s="20"/>
    </row>
    <row r="36" spans="1:11" ht="19.95" customHeight="1" thickBot="1" x14ac:dyDescent="0.3">
      <c r="A36" s="87">
        <v>7</v>
      </c>
      <c r="B36" s="87">
        <v>22</v>
      </c>
      <c r="C36" s="4" t="s">
        <v>15</v>
      </c>
      <c r="D36" s="204"/>
      <c r="E36" s="204"/>
      <c r="F36" s="200"/>
      <c r="G36" s="4"/>
      <c r="H36" s="6"/>
      <c r="I36" s="19"/>
      <c r="J36" s="21"/>
    </row>
    <row r="37" spans="1:11" ht="19.95" customHeight="1" x14ac:dyDescent="0.25">
      <c r="A37" s="92">
        <v>1</v>
      </c>
      <c r="B37" s="109">
        <v>26</v>
      </c>
      <c r="C37" s="110" t="s">
        <v>168</v>
      </c>
      <c r="D37" s="207"/>
      <c r="E37" s="205"/>
      <c r="F37" s="200"/>
      <c r="G37" s="23"/>
      <c r="H37" s="23"/>
      <c r="I37" s="24" t="s">
        <v>129</v>
      </c>
      <c r="J37" s="25"/>
    </row>
    <row r="38" spans="1:11" ht="19.95" customHeight="1" x14ac:dyDescent="0.25">
      <c r="A38" s="88">
        <v>2</v>
      </c>
      <c r="B38" s="88">
        <v>94</v>
      </c>
      <c r="C38" s="111" t="s">
        <v>87</v>
      </c>
      <c r="D38" s="207"/>
      <c r="E38" s="205"/>
      <c r="F38" s="200"/>
      <c r="G38" s="4"/>
      <c r="H38" s="4"/>
      <c r="I38" s="5" t="s">
        <v>128</v>
      </c>
      <c r="J38" s="6"/>
    </row>
    <row r="39" spans="1:11" ht="19.95" customHeight="1" x14ac:dyDescent="0.25">
      <c r="A39" s="87">
        <v>3</v>
      </c>
      <c r="B39" s="87">
        <v>57</v>
      </c>
      <c r="C39" s="6" t="s">
        <v>358</v>
      </c>
      <c r="D39" s="207"/>
      <c r="E39" s="205"/>
      <c r="F39" s="200"/>
      <c r="G39" s="4"/>
      <c r="H39" s="4">
        <v>9124402271</v>
      </c>
      <c r="I39" s="5" t="s">
        <v>359</v>
      </c>
      <c r="J39" s="6"/>
    </row>
    <row r="40" spans="1:11" ht="19.95" customHeight="1" x14ac:dyDescent="0.25">
      <c r="A40" s="87">
        <v>4</v>
      </c>
      <c r="B40" s="87">
        <v>97</v>
      </c>
      <c r="C40" s="6" t="s">
        <v>88</v>
      </c>
      <c r="D40" s="207"/>
      <c r="E40" s="205"/>
      <c r="F40" s="200"/>
      <c r="G40" s="4"/>
      <c r="H40" s="4"/>
      <c r="I40" s="5" t="s">
        <v>125</v>
      </c>
      <c r="J40" s="6"/>
    </row>
    <row r="41" spans="1:11" ht="19.95" customHeight="1" x14ac:dyDescent="0.25">
      <c r="A41" s="87">
        <v>5</v>
      </c>
      <c r="B41" s="87">
        <v>49</v>
      </c>
      <c r="C41" s="6" t="s">
        <v>357</v>
      </c>
      <c r="D41" s="207"/>
      <c r="E41" s="205"/>
      <c r="F41" s="200"/>
      <c r="G41" s="4"/>
      <c r="H41" s="13"/>
      <c r="I41" s="5"/>
      <c r="J41" s="6"/>
    </row>
    <row r="42" spans="1:11" ht="19.95" customHeight="1" x14ac:dyDescent="0.25">
      <c r="A42" s="87">
        <v>6</v>
      </c>
      <c r="B42" s="87">
        <v>98</v>
      </c>
      <c r="C42" s="6" t="s">
        <v>89</v>
      </c>
      <c r="D42" s="207"/>
      <c r="E42" s="205"/>
      <c r="F42" s="200"/>
      <c r="G42" s="4"/>
      <c r="H42" s="4"/>
      <c r="I42" s="5" t="s">
        <v>126</v>
      </c>
      <c r="J42" s="6"/>
    </row>
    <row r="43" spans="1:11" ht="19.95" customHeight="1" thickBot="1" x14ac:dyDescent="0.3">
      <c r="A43" s="87">
        <v>7</v>
      </c>
      <c r="B43" s="87">
        <v>99</v>
      </c>
      <c r="C43" s="6" t="s">
        <v>90</v>
      </c>
      <c r="D43" s="207"/>
      <c r="E43" s="206"/>
      <c r="F43" s="208"/>
      <c r="G43" s="14"/>
      <c r="H43" s="14"/>
      <c r="I43" s="19" t="s">
        <v>127</v>
      </c>
      <c r="J43" s="20"/>
    </row>
    <row r="44" spans="1:11" s="36" customFormat="1" ht="19.95" customHeight="1" x14ac:dyDescent="0.3">
      <c r="A44" s="93">
        <v>1</v>
      </c>
      <c r="B44" s="93">
        <v>60</v>
      </c>
      <c r="C44" s="197" t="s">
        <v>92</v>
      </c>
      <c r="D44" s="204" t="s">
        <v>78</v>
      </c>
      <c r="E44" s="216">
        <v>10</v>
      </c>
      <c r="F44" s="199">
        <v>23</v>
      </c>
      <c r="G44" s="49"/>
      <c r="H44" s="49">
        <v>9022823964</v>
      </c>
      <c r="I44" s="50">
        <v>1273114991</v>
      </c>
      <c r="J44" s="51"/>
      <c r="K44" s="35"/>
    </row>
    <row r="45" spans="1:11" ht="19.95" customHeight="1" x14ac:dyDescent="0.25">
      <c r="A45" s="87">
        <v>2</v>
      </c>
      <c r="B45" s="87">
        <v>107</v>
      </c>
      <c r="C45" s="67" t="s">
        <v>96</v>
      </c>
      <c r="D45" s="204"/>
      <c r="E45" s="204"/>
      <c r="F45" s="200"/>
      <c r="G45" s="4"/>
      <c r="H45" s="4">
        <v>9939130515</v>
      </c>
      <c r="I45" s="5">
        <v>1250746418</v>
      </c>
      <c r="J45" s="6" t="s">
        <v>97</v>
      </c>
    </row>
    <row r="46" spans="1:11" ht="19.95" customHeight="1" x14ac:dyDescent="0.25">
      <c r="A46" s="87">
        <v>3</v>
      </c>
      <c r="B46" s="87">
        <v>127</v>
      </c>
      <c r="C46" s="67" t="s">
        <v>101</v>
      </c>
      <c r="D46" s="204"/>
      <c r="E46" s="204"/>
      <c r="F46" s="200"/>
      <c r="G46" s="4"/>
      <c r="H46" s="4">
        <v>9195698795</v>
      </c>
      <c r="I46" s="5">
        <v>150776667</v>
      </c>
      <c r="J46" s="6" t="s">
        <v>97</v>
      </c>
    </row>
    <row r="47" spans="1:11" ht="19.95" customHeight="1" x14ac:dyDescent="0.25">
      <c r="A47" s="87">
        <v>4</v>
      </c>
      <c r="B47" s="87">
        <v>123</v>
      </c>
      <c r="C47" s="67" t="s">
        <v>104</v>
      </c>
      <c r="D47" s="204"/>
      <c r="E47" s="204"/>
      <c r="F47" s="200"/>
      <c r="G47" s="4"/>
      <c r="H47" s="4"/>
      <c r="I47" s="5">
        <v>200373791</v>
      </c>
      <c r="J47" s="6" t="s">
        <v>97</v>
      </c>
    </row>
    <row r="48" spans="1:11" ht="19.95" customHeight="1" x14ac:dyDescent="0.25">
      <c r="A48" s="87">
        <v>5</v>
      </c>
      <c r="B48" s="87">
        <v>128</v>
      </c>
      <c r="C48" s="67" t="s">
        <v>102</v>
      </c>
      <c r="D48" s="204"/>
      <c r="E48" s="204"/>
      <c r="F48" s="200"/>
      <c r="G48" s="4"/>
      <c r="H48" s="4">
        <v>2100669145</v>
      </c>
      <c r="I48" s="5">
        <v>151110697</v>
      </c>
      <c r="J48" s="6" t="s">
        <v>97</v>
      </c>
    </row>
    <row r="49" spans="1:11" ht="19.95" customHeight="1" x14ac:dyDescent="0.25">
      <c r="A49" s="87">
        <v>6</v>
      </c>
      <c r="B49" s="87">
        <v>130</v>
      </c>
      <c r="C49" s="67" t="s">
        <v>105</v>
      </c>
      <c r="D49" s="204"/>
      <c r="E49" s="204"/>
      <c r="F49" s="200"/>
      <c r="G49" s="4"/>
      <c r="H49" s="4">
        <v>9104521416</v>
      </c>
      <c r="I49" s="5">
        <v>25438441</v>
      </c>
      <c r="J49" s="6" t="s">
        <v>97</v>
      </c>
    </row>
    <row r="50" spans="1:11" ht="19.95" customHeight="1" x14ac:dyDescent="0.25">
      <c r="A50" s="87">
        <v>7</v>
      </c>
      <c r="B50" s="87">
        <v>133</v>
      </c>
      <c r="C50" s="4" t="s">
        <v>144</v>
      </c>
      <c r="D50" s="204"/>
      <c r="E50" s="204"/>
      <c r="F50" s="200"/>
      <c r="G50" s="4"/>
      <c r="H50" s="6">
        <v>9944775447</v>
      </c>
      <c r="I50" s="5" t="s">
        <v>145</v>
      </c>
      <c r="J50" s="21"/>
    </row>
    <row r="51" spans="1:11" ht="19.95" customHeight="1" thickBot="1" x14ac:dyDescent="0.3">
      <c r="A51" s="88">
        <v>8</v>
      </c>
      <c r="B51" s="88">
        <v>15</v>
      </c>
      <c r="C51" s="68" t="s">
        <v>93</v>
      </c>
      <c r="D51" s="209"/>
      <c r="E51" s="209"/>
      <c r="F51" s="201"/>
      <c r="G51" s="14"/>
      <c r="H51" s="19" t="s">
        <v>123</v>
      </c>
      <c r="I51" s="19" t="s">
        <v>122</v>
      </c>
      <c r="J51" s="20"/>
    </row>
    <row r="52" spans="1:11" s="56" customFormat="1" ht="19.95" customHeight="1" thickBot="1" x14ac:dyDescent="0.3">
      <c r="A52" s="94">
        <v>1</v>
      </c>
      <c r="B52" s="94">
        <v>65</v>
      </c>
      <c r="C52" s="105" t="s">
        <v>67</v>
      </c>
      <c r="D52" s="52" t="s">
        <v>69</v>
      </c>
      <c r="E52" s="46">
        <v>11</v>
      </c>
      <c r="F52" s="52"/>
      <c r="G52" s="52">
        <v>1</v>
      </c>
      <c r="H52" s="52">
        <v>9123787738</v>
      </c>
      <c r="I52" s="53"/>
      <c r="J52" s="54"/>
      <c r="K52" s="55"/>
    </row>
    <row r="53" spans="1:11" s="56" customFormat="1" ht="19.95" customHeight="1" thickBot="1" x14ac:dyDescent="0.3">
      <c r="A53" s="84">
        <v>1</v>
      </c>
      <c r="B53" s="84">
        <v>92</v>
      </c>
      <c r="C53" s="37" t="s">
        <v>81</v>
      </c>
      <c r="D53" s="37" t="s">
        <v>82</v>
      </c>
      <c r="E53" s="46">
        <v>12</v>
      </c>
      <c r="F53" s="37"/>
      <c r="G53" s="37"/>
      <c r="H53" s="57"/>
      <c r="I53" s="58"/>
      <c r="J53" s="39"/>
      <c r="K53" s="55"/>
    </row>
    <row r="54" spans="1:11" s="56" customFormat="1" ht="19.95" customHeight="1" x14ac:dyDescent="0.25">
      <c r="A54" s="89">
        <v>1</v>
      </c>
      <c r="B54" s="89">
        <v>51</v>
      </c>
      <c r="C54" s="59" t="s">
        <v>22</v>
      </c>
      <c r="D54" s="203" t="s">
        <v>141</v>
      </c>
      <c r="E54" s="203" t="s">
        <v>80</v>
      </c>
      <c r="F54" s="202">
        <v>17</v>
      </c>
      <c r="G54" s="59">
        <v>1</v>
      </c>
      <c r="H54" s="60">
        <v>9398283658</v>
      </c>
      <c r="I54" s="61" t="s">
        <v>109</v>
      </c>
      <c r="J54" s="62"/>
      <c r="K54" s="55"/>
    </row>
    <row r="55" spans="1:11" ht="19.95" customHeight="1" x14ac:dyDescent="0.25">
      <c r="A55" s="87">
        <v>2</v>
      </c>
      <c r="B55" s="87">
        <v>21</v>
      </c>
      <c r="C55" s="4" t="s">
        <v>169</v>
      </c>
      <c r="D55" s="204"/>
      <c r="E55" s="204"/>
      <c r="F55" s="200"/>
      <c r="G55" s="4"/>
      <c r="H55" s="4">
        <v>9158322014</v>
      </c>
      <c r="I55" s="5" t="s">
        <v>170</v>
      </c>
      <c r="J55" s="6"/>
    </row>
    <row r="56" spans="1:11" ht="19.95" customHeight="1" x14ac:dyDescent="0.25">
      <c r="A56" s="87">
        <v>3</v>
      </c>
      <c r="B56" s="87">
        <v>9</v>
      </c>
      <c r="C56" s="4" t="s">
        <v>167</v>
      </c>
      <c r="D56" s="204"/>
      <c r="E56" s="204"/>
      <c r="F56" s="200"/>
      <c r="G56" s="4"/>
      <c r="H56" s="4">
        <v>9924665780</v>
      </c>
      <c r="I56" s="112" t="s">
        <v>110</v>
      </c>
      <c r="J56" s="6"/>
    </row>
    <row r="57" spans="1:11" ht="19.95" customHeight="1" x14ac:dyDescent="0.25">
      <c r="A57" s="87">
        <v>4</v>
      </c>
      <c r="B57" s="87">
        <v>106</v>
      </c>
      <c r="C57" s="4" t="s">
        <v>94</v>
      </c>
      <c r="D57" s="204"/>
      <c r="E57" s="204"/>
      <c r="F57" s="200"/>
      <c r="G57" s="4"/>
      <c r="H57" s="4">
        <v>9181079769</v>
      </c>
      <c r="I57" s="5" t="s">
        <v>348</v>
      </c>
      <c r="J57" s="6"/>
    </row>
    <row r="58" spans="1:11" ht="19.95" customHeight="1" x14ac:dyDescent="0.25">
      <c r="A58" s="87">
        <v>5</v>
      </c>
      <c r="B58" s="87">
        <v>132</v>
      </c>
      <c r="C58" s="4" t="s">
        <v>139</v>
      </c>
      <c r="D58" s="204"/>
      <c r="E58" s="204"/>
      <c r="F58" s="200"/>
      <c r="G58" s="4"/>
      <c r="H58" s="6">
        <v>9101717368</v>
      </c>
      <c r="I58" s="5" t="s">
        <v>140</v>
      </c>
      <c r="J58" s="21"/>
    </row>
    <row r="59" spans="1:11" ht="19.95" customHeight="1" x14ac:dyDescent="0.25">
      <c r="A59" s="88">
        <v>6</v>
      </c>
      <c r="B59" s="88">
        <v>13</v>
      </c>
      <c r="C59" s="14" t="s">
        <v>163</v>
      </c>
      <c r="D59" s="204"/>
      <c r="E59" s="204"/>
      <c r="F59" s="200"/>
      <c r="G59" s="14"/>
      <c r="H59" s="20">
        <v>9101672132</v>
      </c>
      <c r="I59" s="19" t="s">
        <v>349</v>
      </c>
      <c r="J59" s="69"/>
    </row>
    <row r="60" spans="1:11" ht="19.95" customHeight="1" x14ac:dyDescent="0.25">
      <c r="A60" s="88">
        <v>7</v>
      </c>
      <c r="B60" s="88">
        <v>17</v>
      </c>
      <c r="C60" s="14" t="s">
        <v>171</v>
      </c>
      <c r="D60" s="204"/>
      <c r="E60" s="204"/>
      <c r="F60" s="200"/>
      <c r="G60" s="14"/>
      <c r="H60" s="20"/>
      <c r="I60" s="19"/>
      <c r="J60" s="69"/>
    </row>
    <row r="61" spans="1:11" ht="19.95" customHeight="1" x14ac:dyDescent="0.25">
      <c r="A61" s="88">
        <v>8</v>
      </c>
      <c r="B61" s="88">
        <v>5</v>
      </c>
      <c r="C61" s="135" t="s">
        <v>230</v>
      </c>
      <c r="D61" s="204"/>
      <c r="E61" s="204"/>
      <c r="F61" s="200"/>
      <c r="G61" s="14"/>
      <c r="H61" s="20">
        <v>9964081736</v>
      </c>
      <c r="I61" s="19"/>
      <c r="J61" s="69"/>
    </row>
    <row r="62" spans="1:11" ht="19.95" customHeight="1" thickBot="1" x14ac:dyDescent="0.3">
      <c r="A62" s="85">
        <v>9</v>
      </c>
      <c r="B62" s="85">
        <v>52</v>
      </c>
      <c r="C62" s="7" t="s">
        <v>23</v>
      </c>
      <c r="D62" s="209"/>
      <c r="E62" s="209"/>
      <c r="F62" s="201"/>
      <c r="G62" s="7"/>
      <c r="H62" s="7">
        <v>9912798973</v>
      </c>
      <c r="I62" s="8" t="s">
        <v>111</v>
      </c>
      <c r="J62" s="9"/>
    </row>
    <row r="63" spans="1:11" s="56" customFormat="1" ht="19.95" customHeight="1" x14ac:dyDescent="0.25">
      <c r="A63" s="95">
        <v>1</v>
      </c>
      <c r="B63" s="95">
        <v>88</v>
      </c>
      <c r="C63" s="63" t="s">
        <v>16</v>
      </c>
      <c r="D63" s="203" t="s">
        <v>17</v>
      </c>
      <c r="E63" s="203" t="s">
        <v>18</v>
      </c>
      <c r="F63" s="63">
        <v>5</v>
      </c>
      <c r="G63" s="63">
        <v>1</v>
      </c>
      <c r="H63" s="63">
        <v>9213962354</v>
      </c>
      <c r="I63" s="61" t="s">
        <v>134</v>
      </c>
      <c r="J63" s="64"/>
      <c r="K63" s="55"/>
    </row>
    <row r="64" spans="1:11" ht="19.95" customHeight="1" x14ac:dyDescent="0.25">
      <c r="A64" s="87">
        <v>2</v>
      </c>
      <c r="B64" s="87">
        <v>12</v>
      </c>
      <c r="C64" s="4" t="s">
        <v>19</v>
      </c>
      <c r="D64" s="204"/>
      <c r="E64" s="204"/>
      <c r="F64" s="4">
        <v>8</v>
      </c>
      <c r="G64" s="4"/>
      <c r="H64" s="4">
        <v>9137297432</v>
      </c>
      <c r="I64" s="5" t="s">
        <v>135</v>
      </c>
      <c r="J64" s="6"/>
    </row>
    <row r="65" spans="1:11" ht="19.95" customHeight="1" x14ac:dyDescent="0.25">
      <c r="A65" s="87">
        <v>3</v>
      </c>
      <c r="B65" s="87">
        <v>101</v>
      </c>
      <c r="C65" s="4" t="s">
        <v>91</v>
      </c>
      <c r="D65" s="204"/>
      <c r="E65" s="204"/>
      <c r="F65" s="4"/>
      <c r="G65" s="4"/>
      <c r="H65" s="4"/>
      <c r="I65" s="5"/>
      <c r="J65" s="6"/>
    </row>
    <row r="66" spans="1:11" ht="19.95" customHeight="1" x14ac:dyDescent="0.25">
      <c r="A66" s="87">
        <v>4</v>
      </c>
      <c r="B66" s="87">
        <v>63</v>
      </c>
      <c r="C66" s="4" t="s">
        <v>60</v>
      </c>
      <c r="D66" s="204"/>
      <c r="E66" s="204"/>
      <c r="F66" s="4"/>
      <c r="G66" s="4"/>
      <c r="H66" s="4"/>
      <c r="I66" s="5"/>
      <c r="J66" s="6"/>
    </row>
    <row r="67" spans="1:11" ht="19.95" customHeight="1" x14ac:dyDescent="0.25">
      <c r="A67" s="87">
        <v>5</v>
      </c>
      <c r="B67" s="87">
        <v>14</v>
      </c>
      <c r="C67" s="4" t="s">
        <v>20</v>
      </c>
      <c r="D67" s="204"/>
      <c r="E67" s="204"/>
      <c r="F67" s="4"/>
      <c r="G67" s="4"/>
      <c r="H67" s="4">
        <v>9307541474</v>
      </c>
      <c r="I67" s="5"/>
      <c r="J67" s="6"/>
    </row>
    <row r="68" spans="1:11" ht="19.95" customHeight="1" x14ac:dyDescent="0.25">
      <c r="A68" s="87">
        <v>6</v>
      </c>
      <c r="B68" s="87">
        <v>58</v>
      </c>
      <c r="C68" s="4" t="s">
        <v>21</v>
      </c>
      <c r="D68" s="204"/>
      <c r="E68" s="204"/>
      <c r="F68" s="4"/>
      <c r="G68" s="4"/>
      <c r="H68" s="4">
        <v>9104015905</v>
      </c>
      <c r="I68" s="5" t="s">
        <v>134</v>
      </c>
      <c r="J68" s="6"/>
    </row>
    <row r="69" spans="1:11" ht="19.95" customHeight="1" x14ac:dyDescent="0.25">
      <c r="A69" s="87">
        <v>7</v>
      </c>
      <c r="B69" s="87">
        <v>104</v>
      </c>
      <c r="C69" s="4" t="s">
        <v>98</v>
      </c>
      <c r="D69" s="204"/>
      <c r="E69" s="204"/>
      <c r="F69" s="4"/>
      <c r="G69" s="4"/>
      <c r="H69" s="4">
        <v>9012899041</v>
      </c>
      <c r="I69" s="5" t="s">
        <v>136</v>
      </c>
      <c r="J69" s="6" t="s">
        <v>97</v>
      </c>
    </row>
    <row r="70" spans="1:11" ht="19.95" customHeight="1" thickBot="1" x14ac:dyDescent="0.3">
      <c r="A70" s="88">
        <v>8</v>
      </c>
      <c r="B70" s="88">
        <v>125</v>
      </c>
      <c r="C70" s="26" t="s">
        <v>99</v>
      </c>
      <c r="D70" s="204"/>
      <c r="E70" s="204"/>
      <c r="F70" s="26"/>
      <c r="G70" s="26"/>
      <c r="H70" s="14">
        <v>9393004296</v>
      </c>
      <c r="I70" s="19" t="s">
        <v>137</v>
      </c>
      <c r="J70" s="27" t="s">
        <v>97</v>
      </c>
    </row>
    <row r="71" spans="1:11" s="56" customFormat="1" ht="19.95" customHeight="1" x14ac:dyDescent="0.25">
      <c r="A71" s="98">
        <v>1</v>
      </c>
      <c r="B71" s="99">
        <v>66</v>
      </c>
      <c r="C71" s="100" t="s">
        <v>61</v>
      </c>
      <c r="D71" s="217" t="s">
        <v>83</v>
      </c>
      <c r="E71" s="203">
        <v>20</v>
      </c>
      <c r="F71" s="100">
        <v>16</v>
      </c>
      <c r="G71" s="100">
        <v>1</v>
      </c>
      <c r="H71" s="59"/>
      <c r="I71" s="65" t="s">
        <v>112</v>
      </c>
      <c r="J71" s="101"/>
    </row>
    <row r="72" spans="1:11" ht="19.95" customHeight="1" x14ac:dyDescent="0.25">
      <c r="A72" s="102">
        <v>2</v>
      </c>
      <c r="B72" s="87">
        <v>14</v>
      </c>
      <c r="C72" s="4" t="s">
        <v>47</v>
      </c>
      <c r="D72" s="218"/>
      <c r="E72" s="204"/>
      <c r="F72" s="4">
        <v>31</v>
      </c>
      <c r="G72" s="4"/>
      <c r="H72" s="4">
        <v>9196363751</v>
      </c>
      <c r="I72" s="5" t="s">
        <v>115</v>
      </c>
      <c r="J72" s="103"/>
      <c r="K72"/>
    </row>
    <row r="73" spans="1:11" ht="19.95" customHeight="1" x14ac:dyDescent="0.25">
      <c r="A73" s="102">
        <v>3</v>
      </c>
      <c r="B73" s="87">
        <v>20</v>
      </c>
      <c r="C73" s="4" t="s">
        <v>114</v>
      </c>
      <c r="D73" s="218"/>
      <c r="E73" s="204"/>
      <c r="F73" s="4"/>
      <c r="G73" s="4"/>
      <c r="H73" s="4">
        <v>9127765362</v>
      </c>
      <c r="I73" s="5" t="s">
        <v>113</v>
      </c>
      <c r="J73" s="103"/>
      <c r="K73"/>
    </row>
    <row r="74" spans="1:11" ht="19.95" customHeight="1" x14ac:dyDescent="0.25">
      <c r="A74" s="102">
        <v>4</v>
      </c>
      <c r="B74" s="87">
        <v>69</v>
      </c>
      <c r="C74" s="4" t="s">
        <v>63</v>
      </c>
      <c r="D74" s="218"/>
      <c r="E74" s="204"/>
      <c r="F74" s="4"/>
      <c r="G74" s="4"/>
      <c r="H74" s="4">
        <v>9124332683</v>
      </c>
      <c r="I74" s="5" t="s">
        <v>116</v>
      </c>
      <c r="J74" s="103"/>
      <c r="K74"/>
    </row>
    <row r="75" spans="1:11" s="56" customFormat="1" ht="19.95" customHeight="1" x14ac:dyDescent="0.25">
      <c r="A75" s="95">
        <v>1</v>
      </c>
      <c r="B75" s="95">
        <v>68</v>
      </c>
      <c r="C75" s="63" t="s">
        <v>29</v>
      </c>
      <c r="D75" s="204" t="s">
        <v>30</v>
      </c>
      <c r="E75" s="204" t="s">
        <v>59</v>
      </c>
      <c r="F75" s="63">
        <v>2</v>
      </c>
      <c r="G75" s="63">
        <v>1</v>
      </c>
      <c r="H75" s="63">
        <v>9124874629</v>
      </c>
      <c r="I75" s="61"/>
      <c r="J75" s="64"/>
      <c r="K75" s="55"/>
    </row>
    <row r="76" spans="1:11" ht="19.95" customHeight="1" x14ac:dyDescent="0.25">
      <c r="A76" s="87">
        <v>2</v>
      </c>
      <c r="B76" s="87">
        <v>53</v>
      </c>
      <c r="C76" s="4" t="s">
        <v>31</v>
      </c>
      <c r="D76" s="204"/>
      <c r="E76" s="204"/>
      <c r="F76" s="4">
        <v>19</v>
      </c>
      <c r="G76" s="4"/>
      <c r="H76" s="4">
        <v>9905656972</v>
      </c>
      <c r="I76" s="5"/>
      <c r="J76" s="6"/>
    </row>
    <row r="77" spans="1:11" ht="19.95" customHeight="1" x14ac:dyDescent="0.25">
      <c r="A77" s="87">
        <v>3</v>
      </c>
      <c r="B77" s="87">
        <v>91</v>
      </c>
      <c r="C77" s="4" t="s">
        <v>32</v>
      </c>
      <c r="D77" s="204"/>
      <c r="E77" s="204"/>
      <c r="F77" s="4"/>
      <c r="G77" s="4"/>
      <c r="H77" s="4">
        <v>9359774601</v>
      </c>
      <c r="I77" s="5"/>
      <c r="J77" s="6"/>
    </row>
    <row r="78" spans="1:11" ht="19.95" customHeight="1" x14ac:dyDescent="0.25">
      <c r="A78" s="87">
        <v>4</v>
      </c>
      <c r="B78" s="88">
        <v>18</v>
      </c>
      <c r="C78" s="14" t="s">
        <v>9</v>
      </c>
      <c r="D78" s="204"/>
      <c r="E78" s="204"/>
      <c r="F78" s="14"/>
      <c r="G78" s="14"/>
      <c r="H78" s="4">
        <v>9389980458</v>
      </c>
      <c r="I78" s="5"/>
      <c r="J78" s="6"/>
    </row>
    <row r="79" spans="1:11" ht="19.95" customHeight="1" x14ac:dyDescent="0.25">
      <c r="A79" s="87">
        <v>5</v>
      </c>
      <c r="B79" s="87">
        <v>82</v>
      </c>
      <c r="C79" s="4" t="s">
        <v>142</v>
      </c>
      <c r="D79" s="204"/>
      <c r="E79" s="204"/>
      <c r="F79" s="4"/>
      <c r="G79" s="4"/>
      <c r="H79" s="6">
        <v>9367844926</v>
      </c>
      <c r="I79" s="5" t="s">
        <v>143</v>
      </c>
      <c r="J79" s="21"/>
    </row>
    <row r="80" spans="1:11" ht="19.95" customHeight="1" x14ac:dyDescent="0.25">
      <c r="A80" s="87">
        <v>6</v>
      </c>
      <c r="B80" s="87">
        <v>59</v>
      </c>
      <c r="C80" s="4" t="s">
        <v>33</v>
      </c>
      <c r="D80" s="204"/>
      <c r="E80" s="204"/>
      <c r="F80" s="4"/>
      <c r="G80" s="4"/>
      <c r="H80" s="4">
        <v>9100173608</v>
      </c>
      <c r="I80" s="5"/>
      <c r="J80" s="6"/>
    </row>
    <row r="81" spans="1:11" ht="19.95" customHeight="1" thickBot="1" x14ac:dyDescent="0.3">
      <c r="A81" s="85">
        <v>7</v>
      </c>
      <c r="B81" s="85">
        <v>120</v>
      </c>
      <c r="C81" s="7" t="s">
        <v>34</v>
      </c>
      <c r="D81" s="209"/>
      <c r="E81" s="209"/>
      <c r="F81" s="7"/>
      <c r="G81" s="7"/>
      <c r="H81" s="7">
        <v>9058756377</v>
      </c>
      <c r="I81" s="8"/>
      <c r="J81" s="9"/>
    </row>
    <row r="82" spans="1:11" s="56" customFormat="1" ht="19.95" customHeight="1" x14ac:dyDescent="0.25">
      <c r="A82" s="96">
        <v>1</v>
      </c>
      <c r="B82" s="93">
        <v>25</v>
      </c>
      <c r="C82" s="49" t="s">
        <v>118</v>
      </c>
      <c r="D82" s="216" t="s">
        <v>27</v>
      </c>
      <c r="E82" s="216">
        <v>24</v>
      </c>
      <c r="F82" s="49" t="s">
        <v>55</v>
      </c>
      <c r="G82" s="49"/>
      <c r="H82" s="63">
        <v>9124770308</v>
      </c>
      <c r="I82" s="61" t="s">
        <v>117</v>
      </c>
      <c r="J82" s="51"/>
      <c r="K82" s="55"/>
    </row>
    <row r="83" spans="1:11" ht="19.95" customHeight="1" x14ac:dyDescent="0.25">
      <c r="A83" s="87">
        <v>2</v>
      </c>
      <c r="B83" s="87">
        <v>72</v>
      </c>
      <c r="C83" s="4" t="s">
        <v>36</v>
      </c>
      <c r="D83" s="204"/>
      <c r="E83" s="204"/>
      <c r="F83" s="4"/>
      <c r="G83" s="4"/>
      <c r="H83" s="4">
        <v>9335617039</v>
      </c>
      <c r="I83" s="5" t="s">
        <v>133</v>
      </c>
      <c r="J83" s="6"/>
    </row>
    <row r="84" spans="1:11" ht="19.95" customHeight="1" x14ac:dyDescent="0.25">
      <c r="A84" s="87">
        <v>3</v>
      </c>
      <c r="B84" s="87">
        <v>7</v>
      </c>
      <c r="C84" s="4" t="s">
        <v>152</v>
      </c>
      <c r="D84" s="204"/>
      <c r="E84" s="204"/>
      <c r="F84" s="4"/>
      <c r="G84" s="4"/>
      <c r="H84" s="4">
        <v>9125607035</v>
      </c>
      <c r="I84" s="5" t="s">
        <v>153</v>
      </c>
      <c r="J84" s="6"/>
    </row>
    <row r="85" spans="1:11" ht="19.95" customHeight="1" x14ac:dyDescent="0.25">
      <c r="A85" s="87">
        <v>4</v>
      </c>
      <c r="B85" s="87">
        <v>70</v>
      </c>
      <c r="C85" s="4" t="s">
        <v>64</v>
      </c>
      <c r="D85" s="204"/>
      <c r="E85" s="204"/>
      <c r="F85" s="4"/>
      <c r="G85" s="4"/>
      <c r="H85" s="4">
        <v>9150298672</v>
      </c>
      <c r="I85" s="5" t="s">
        <v>124</v>
      </c>
      <c r="J85" s="6"/>
    </row>
    <row r="86" spans="1:11" ht="19.95" customHeight="1" thickBot="1" x14ac:dyDescent="0.3">
      <c r="A86" s="97">
        <v>5</v>
      </c>
      <c r="B86" s="88">
        <v>135</v>
      </c>
      <c r="C86" s="14" t="s">
        <v>28</v>
      </c>
      <c r="D86" s="204"/>
      <c r="E86" s="204"/>
      <c r="F86" s="14"/>
      <c r="G86" s="14"/>
      <c r="H86" s="14">
        <v>9351386830</v>
      </c>
      <c r="I86" s="28" t="s">
        <v>119</v>
      </c>
      <c r="J86" s="20"/>
    </row>
    <row r="87" spans="1:11" ht="19.95" customHeight="1" x14ac:dyDescent="0.25">
      <c r="A87" s="106">
        <v>2</v>
      </c>
      <c r="B87" s="89">
        <v>8</v>
      </c>
      <c r="C87" s="83" t="s">
        <v>24</v>
      </c>
      <c r="D87" s="203"/>
      <c r="E87" s="203"/>
      <c r="F87" s="83"/>
      <c r="G87" s="83"/>
      <c r="H87" s="83">
        <v>9033610511</v>
      </c>
      <c r="I87" s="107" t="s">
        <v>351</v>
      </c>
      <c r="J87" s="108"/>
      <c r="K87"/>
    </row>
    <row r="88" spans="1:11" ht="19.95" customHeight="1" x14ac:dyDescent="0.25">
      <c r="A88" s="102">
        <v>3</v>
      </c>
      <c r="B88" s="87">
        <v>10</v>
      </c>
      <c r="C88" s="4" t="s">
        <v>25</v>
      </c>
      <c r="D88" s="204"/>
      <c r="E88" s="204"/>
      <c r="F88" s="4"/>
      <c r="G88" s="4"/>
      <c r="H88" s="4"/>
      <c r="I88" s="5"/>
      <c r="J88" s="103"/>
      <c r="K88"/>
    </row>
    <row r="89" spans="1:11" ht="19.95" customHeight="1" thickBot="1" x14ac:dyDescent="0.3">
      <c r="A89" s="102">
        <v>4</v>
      </c>
      <c r="B89" s="87">
        <v>56</v>
      </c>
      <c r="C89" s="4" t="s">
        <v>26</v>
      </c>
      <c r="D89" s="204"/>
      <c r="E89" s="204"/>
      <c r="F89" s="4">
        <v>36</v>
      </c>
      <c r="G89" s="4"/>
      <c r="H89" s="4"/>
      <c r="I89" s="5"/>
      <c r="J89" s="103"/>
      <c r="K89"/>
    </row>
    <row r="90" spans="1:11" ht="19.95" customHeight="1" thickBot="1" x14ac:dyDescent="0.3">
      <c r="A90" s="94">
        <v>1</v>
      </c>
      <c r="B90" s="94">
        <v>117</v>
      </c>
      <c r="C90" s="46" t="s">
        <v>72</v>
      </c>
      <c r="D90" s="46"/>
      <c r="E90" s="46"/>
      <c r="F90" s="46"/>
      <c r="G90" s="46"/>
      <c r="H90" s="46"/>
      <c r="I90" s="47"/>
      <c r="J90" s="48"/>
    </row>
    <row r="91" spans="1:11" ht="24.6" x14ac:dyDescent="0.25">
      <c r="A91" s="106">
        <v>1</v>
      </c>
      <c r="B91" s="89">
        <v>27</v>
      </c>
      <c r="C91" s="83" t="s">
        <v>334</v>
      </c>
      <c r="D91" s="203"/>
      <c r="E91" s="203"/>
      <c r="F91" s="83"/>
      <c r="G91" s="83"/>
      <c r="H91" s="83">
        <v>9102107081</v>
      </c>
      <c r="I91" s="107" t="s">
        <v>352</v>
      </c>
      <c r="J91" s="108"/>
    </row>
    <row r="92" spans="1:11" ht="15.75" customHeight="1" x14ac:dyDescent="0.25">
      <c r="A92" s="102">
        <v>2</v>
      </c>
      <c r="B92" s="87"/>
      <c r="C92" s="4"/>
      <c r="D92" s="204"/>
      <c r="E92" s="204"/>
      <c r="F92" s="4"/>
      <c r="G92" s="4"/>
      <c r="H92" s="4"/>
      <c r="I92" s="5"/>
      <c r="J92" s="103"/>
    </row>
    <row r="93" spans="1:11" ht="15.75" customHeight="1" x14ac:dyDescent="0.25">
      <c r="A93" s="102">
        <v>3</v>
      </c>
      <c r="B93" s="87"/>
      <c r="C93" s="4"/>
      <c r="D93" s="204"/>
      <c r="E93" s="204"/>
      <c r="F93" s="4"/>
      <c r="G93" s="4"/>
      <c r="H93" s="4"/>
      <c r="I93" s="5"/>
      <c r="J93" s="103"/>
    </row>
  </sheetData>
  <mergeCells count="29">
    <mergeCell ref="D75:D81"/>
    <mergeCell ref="E44:E51"/>
    <mergeCell ref="E54:E62"/>
    <mergeCell ref="E63:E70"/>
    <mergeCell ref="E71:E74"/>
    <mergeCell ref="E75:E81"/>
    <mergeCell ref="D71:D74"/>
    <mergeCell ref="D91:D93"/>
    <mergeCell ref="E91:E93"/>
    <mergeCell ref="E82:E86"/>
    <mergeCell ref="E87:E89"/>
    <mergeCell ref="D82:D86"/>
    <mergeCell ref="D87:D89"/>
    <mergeCell ref="A1:J2"/>
    <mergeCell ref="E7:E13"/>
    <mergeCell ref="F7:F13"/>
    <mergeCell ref="D7:D13"/>
    <mergeCell ref="D14:D29"/>
    <mergeCell ref="E4:E6"/>
    <mergeCell ref="F44:F51"/>
    <mergeCell ref="F54:F62"/>
    <mergeCell ref="D63:D70"/>
    <mergeCell ref="E14:E29"/>
    <mergeCell ref="E30:E43"/>
    <mergeCell ref="D30:D36"/>
    <mergeCell ref="D37:D43"/>
    <mergeCell ref="F30:F43"/>
    <mergeCell ref="D44:D51"/>
    <mergeCell ref="D54:D62"/>
  </mergeCells>
  <phoneticPr fontId="3" type="noConversion"/>
  <conditionalFormatting sqref="E3:E4">
    <cfRule type="containsText" dxfId="11" priority="1" operator="containsText" text="Vertex42">
      <formula>NOT(ISERROR(SEARCH(("Vertex42"),(E3))))</formula>
    </cfRule>
  </conditionalFormatting>
  <printOptions horizontalCentered="1"/>
  <pageMargins left="0.4" right="0.4" top="0.4" bottom="0.5" header="0" footer="0"/>
  <pageSetup scale="32" pageOrder="overThenDown" orientation="landscape" r:id="rId1"/>
  <headerFooter>
    <oddFooter>&amp;Lhttps://www.vertex42.com/ExcelTemplates/sign-up-sheet.html&amp;RVolunteer Sign Up Template © 2009-2019 by Vertex42.com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25"/>
  <sheetViews>
    <sheetView rightToLeft="1" zoomScale="90" zoomScaleNormal="9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C15" sqref="C15"/>
    </sheetView>
  </sheetViews>
  <sheetFormatPr defaultColWidth="12.6640625" defaultRowHeight="15.75" customHeight="1" x14ac:dyDescent="0.25"/>
  <cols>
    <col min="1" max="1" width="6.6640625" style="32" bestFit="1" customWidth="1"/>
    <col min="2" max="2" width="32.44140625" style="32" bestFit="1" customWidth="1"/>
    <col min="3" max="3" width="25.6640625" style="32" bestFit="1" customWidth="1"/>
    <col min="4" max="4" width="20.6640625" style="32" bestFit="1" customWidth="1"/>
    <col min="5" max="5" width="12.5546875" style="32" bestFit="1" customWidth="1"/>
    <col min="6" max="6" width="41.6640625" style="32" bestFit="1" customWidth="1"/>
    <col min="7" max="7" width="10.44140625" style="32" bestFit="1" customWidth="1"/>
    <col min="8" max="8" width="15.5546875" style="32" bestFit="1" customWidth="1"/>
    <col min="9" max="9" width="6.88671875" style="32" bestFit="1" customWidth="1"/>
    <col min="10" max="10" width="61.33203125" style="32" customWidth="1"/>
    <col min="11" max="16384" width="12.6640625" style="32"/>
  </cols>
  <sheetData>
    <row r="1" spans="1:10" ht="15.75" customHeight="1" x14ac:dyDescent="0.25">
      <c r="A1" s="219" t="s">
        <v>148</v>
      </c>
      <c r="B1" s="219"/>
      <c r="C1" s="219"/>
      <c r="D1" s="219"/>
      <c r="E1" s="219"/>
      <c r="F1" s="219"/>
      <c r="G1" s="219"/>
      <c r="H1" s="219"/>
      <c r="I1" s="219"/>
      <c r="J1" s="219"/>
    </row>
    <row r="2" spans="1:10" ht="15.75" customHeight="1" x14ac:dyDescent="0.25">
      <c r="A2" s="219"/>
      <c r="B2" s="219"/>
      <c r="C2" s="219"/>
      <c r="D2" s="219"/>
      <c r="E2" s="219"/>
      <c r="F2" s="219"/>
      <c r="G2" s="219"/>
      <c r="H2" s="219"/>
      <c r="I2" s="219"/>
      <c r="J2" s="219"/>
    </row>
    <row r="3" spans="1:10" ht="27.75" customHeight="1" x14ac:dyDescent="0.25">
      <c r="A3" s="226" t="s">
        <v>150</v>
      </c>
      <c r="B3" s="226"/>
      <c r="C3" s="226"/>
      <c r="D3" s="226"/>
      <c r="E3" s="226"/>
      <c r="F3" s="226"/>
      <c r="G3" s="226"/>
      <c r="H3" s="226"/>
      <c r="I3" s="226"/>
      <c r="J3" s="226"/>
    </row>
    <row r="4" spans="1:10" ht="3" customHeight="1" x14ac:dyDescent="0.25">
      <c r="A4" s="226"/>
      <c r="B4" s="226"/>
      <c r="C4" s="226"/>
      <c r="D4" s="226"/>
      <c r="E4" s="226"/>
      <c r="F4" s="226"/>
      <c r="G4" s="226"/>
      <c r="H4" s="226"/>
      <c r="I4" s="226"/>
      <c r="J4" s="226"/>
    </row>
    <row r="5" spans="1:10" ht="18.75" customHeight="1" x14ac:dyDescent="0.25">
      <c r="A5" s="40" t="s">
        <v>149</v>
      </c>
      <c r="B5" s="41" t="s">
        <v>1</v>
      </c>
      <c r="C5" s="41" t="s">
        <v>48</v>
      </c>
      <c r="D5" s="41" t="s">
        <v>6</v>
      </c>
      <c r="E5" s="41" t="s">
        <v>159</v>
      </c>
      <c r="F5" s="41" t="s">
        <v>49</v>
      </c>
      <c r="G5" s="41" t="s">
        <v>50</v>
      </c>
      <c r="H5" s="41" t="s">
        <v>51</v>
      </c>
      <c r="I5" s="41" t="s">
        <v>7</v>
      </c>
      <c r="J5" s="41" t="s">
        <v>8</v>
      </c>
    </row>
    <row r="6" spans="1:10" ht="21" customHeight="1" x14ac:dyDescent="0.25">
      <c r="A6" s="44">
        <v>1</v>
      </c>
      <c r="B6" s="74" t="s">
        <v>141</v>
      </c>
      <c r="C6" s="42" t="s">
        <v>22</v>
      </c>
      <c r="D6" s="42">
        <v>9398283658</v>
      </c>
      <c r="E6" s="72">
        <v>2</v>
      </c>
      <c r="F6" s="75" t="s">
        <v>52</v>
      </c>
      <c r="G6" s="75">
        <v>2</v>
      </c>
      <c r="H6" s="43"/>
      <c r="I6" s="43"/>
      <c r="J6" s="43"/>
    </row>
    <row r="7" spans="1:10" ht="21" customHeight="1" x14ac:dyDescent="0.25">
      <c r="A7" s="44">
        <f t="shared" ref="A7:A11" ca="1" si="0">OFFSET(A7,-1,0,1,1)+1</f>
        <v>2</v>
      </c>
      <c r="B7" s="73" t="s">
        <v>38</v>
      </c>
      <c r="C7" s="44" t="s">
        <v>39</v>
      </c>
      <c r="D7" s="44">
        <v>9352572223</v>
      </c>
      <c r="E7" s="44">
        <v>5</v>
      </c>
      <c r="F7" s="76" t="s">
        <v>53</v>
      </c>
      <c r="G7" s="77">
        <v>44989</v>
      </c>
      <c r="H7" s="33"/>
      <c r="I7" s="33"/>
      <c r="J7" s="33"/>
    </row>
    <row r="8" spans="1:10" ht="21" customHeight="1" x14ac:dyDescent="0.25">
      <c r="A8" s="44">
        <f t="shared" ca="1" si="0"/>
        <v>3</v>
      </c>
      <c r="B8" s="73" t="s">
        <v>27</v>
      </c>
      <c r="C8" s="44" t="s">
        <v>54</v>
      </c>
      <c r="D8" s="44">
        <v>9124770308</v>
      </c>
      <c r="E8" s="44">
        <v>1</v>
      </c>
      <c r="F8" s="76" t="s">
        <v>55</v>
      </c>
      <c r="G8" s="76"/>
      <c r="H8" s="33"/>
      <c r="I8" s="33"/>
      <c r="J8" s="33"/>
    </row>
    <row r="9" spans="1:10" ht="21" customHeight="1" x14ac:dyDescent="0.25">
      <c r="A9" s="44">
        <f t="shared" ca="1" si="0"/>
        <v>4</v>
      </c>
      <c r="B9" s="73" t="s">
        <v>17</v>
      </c>
      <c r="C9" s="44" t="s">
        <v>19</v>
      </c>
      <c r="D9" s="44">
        <v>9137297432</v>
      </c>
      <c r="E9" s="44">
        <v>3</v>
      </c>
      <c r="F9" s="77">
        <v>45054</v>
      </c>
      <c r="G9" s="76"/>
      <c r="H9" s="33"/>
      <c r="I9" s="33"/>
      <c r="J9" s="33"/>
    </row>
    <row r="10" spans="1:10" ht="21" customHeight="1" x14ac:dyDescent="0.25">
      <c r="A10" s="44">
        <f t="shared" ca="1" si="0"/>
        <v>5</v>
      </c>
      <c r="B10" s="73" t="s">
        <v>30</v>
      </c>
      <c r="C10" s="44" t="s">
        <v>56</v>
      </c>
      <c r="D10" s="44">
        <v>9124874629</v>
      </c>
      <c r="E10" s="44">
        <v>1</v>
      </c>
      <c r="F10" s="77">
        <v>44976</v>
      </c>
      <c r="G10" s="76"/>
      <c r="H10" s="33"/>
      <c r="I10" s="33"/>
      <c r="J10" s="33"/>
    </row>
    <row r="11" spans="1:10" ht="21" customHeight="1" x14ac:dyDescent="0.25">
      <c r="A11" s="44">
        <f t="shared" ca="1" si="0"/>
        <v>6</v>
      </c>
      <c r="B11" s="73" t="s">
        <v>11</v>
      </c>
      <c r="C11" s="44" t="s">
        <v>12</v>
      </c>
      <c r="D11" s="44">
        <v>9124113687</v>
      </c>
      <c r="E11" s="44">
        <v>1</v>
      </c>
      <c r="F11" s="77">
        <v>45179</v>
      </c>
      <c r="G11" s="76"/>
      <c r="H11" s="33"/>
      <c r="I11" s="33"/>
      <c r="J11" s="33"/>
    </row>
    <row r="12" spans="1:10" ht="21" customHeight="1" x14ac:dyDescent="0.25">
      <c r="A12" s="44">
        <v>7</v>
      </c>
      <c r="B12" s="73" t="s">
        <v>83</v>
      </c>
      <c r="C12" s="44" t="s">
        <v>61</v>
      </c>
      <c r="D12" s="44">
        <v>9149225257</v>
      </c>
      <c r="E12" s="44">
        <v>1</v>
      </c>
      <c r="F12" s="76">
        <v>31</v>
      </c>
      <c r="G12" s="76"/>
      <c r="H12" s="33"/>
      <c r="I12" s="33"/>
      <c r="J12" s="33"/>
    </row>
    <row r="13" spans="1:10" ht="21" customHeight="1" x14ac:dyDescent="0.25">
      <c r="A13" s="44">
        <f t="shared" ref="A13:A19" ca="1" si="1">OFFSET(A13,-1,0,1,1)+1</f>
        <v>8</v>
      </c>
      <c r="B13" s="73" t="s">
        <v>158</v>
      </c>
      <c r="C13" s="44" t="s">
        <v>68</v>
      </c>
      <c r="D13" s="81">
        <v>9197257822</v>
      </c>
      <c r="E13" s="44">
        <v>3</v>
      </c>
      <c r="F13" s="78"/>
      <c r="G13" s="76"/>
      <c r="H13" s="33"/>
      <c r="I13" s="33"/>
      <c r="J13" s="33"/>
    </row>
    <row r="14" spans="1:10" ht="21" customHeight="1" x14ac:dyDescent="0.25">
      <c r="A14" s="44">
        <f t="shared" ca="1" si="1"/>
        <v>9</v>
      </c>
      <c r="B14" s="73" t="s">
        <v>82</v>
      </c>
      <c r="C14" s="44" t="s">
        <v>160</v>
      </c>
      <c r="D14" s="44">
        <v>9124933980</v>
      </c>
      <c r="E14" s="44">
        <v>1</v>
      </c>
      <c r="F14" s="78"/>
      <c r="G14" s="78"/>
      <c r="H14" s="33"/>
      <c r="I14" s="33"/>
      <c r="J14" s="33"/>
    </row>
    <row r="15" spans="1:10" ht="21" customHeight="1" x14ac:dyDescent="0.25">
      <c r="A15" s="44">
        <f t="shared" ca="1" si="1"/>
        <v>10</v>
      </c>
      <c r="B15" s="73" t="s">
        <v>78</v>
      </c>
      <c r="C15" s="44" t="s">
        <v>92</v>
      </c>
      <c r="D15" s="44">
        <v>9022823964</v>
      </c>
      <c r="E15" s="44">
        <v>1</v>
      </c>
      <c r="F15" s="78"/>
      <c r="G15" s="78"/>
      <c r="H15" s="33"/>
      <c r="I15" s="33"/>
      <c r="J15" s="33"/>
    </row>
    <row r="16" spans="1:10" ht="21" customHeight="1" x14ac:dyDescent="0.25">
      <c r="A16" s="44">
        <f t="shared" ca="1" si="1"/>
        <v>11</v>
      </c>
      <c r="B16" s="73" t="s">
        <v>69</v>
      </c>
      <c r="C16" s="44" t="s">
        <v>67</v>
      </c>
      <c r="D16" s="44">
        <v>9123787738</v>
      </c>
      <c r="E16" s="44">
        <v>1</v>
      </c>
      <c r="F16" s="78"/>
      <c r="G16" s="78"/>
      <c r="H16" s="33"/>
      <c r="I16" s="33"/>
      <c r="J16" s="33"/>
    </row>
    <row r="17" spans="1:10" ht="21" customHeight="1" x14ac:dyDescent="0.25">
      <c r="A17" s="45">
        <f t="shared" ca="1" si="1"/>
        <v>12</v>
      </c>
      <c r="B17" s="45"/>
      <c r="C17" s="34"/>
      <c r="D17" s="34"/>
      <c r="E17" s="34"/>
      <c r="F17" s="34"/>
      <c r="G17" s="34"/>
      <c r="H17" s="34"/>
      <c r="I17" s="34"/>
      <c r="J17" s="34"/>
    </row>
    <row r="18" spans="1:10" ht="21" customHeight="1" x14ac:dyDescent="0.25">
      <c r="A18" s="44">
        <f t="shared" ca="1" si="1"/>
        <v>13</v>
      </c>
      <c r="B18" s="44"/>
      <c r="C18" s="33"/>
      <c r="D18" s="33"/>
      <c r="E18" s="33"/>
      <c r="F18" s="33"/>
      <c r="G18" s="33"/>
      <c r="H18" s="33"/>
      <c r="I18" s="33"/>
      <c r="J18" s="33"/>
    </row>
    <row r="19" spans="1:10" ht="21" customHeight="1" thickBot="1" x14ac:dyDescent="0.3">
      <c r="A19" s="44">
        <f t="shared" ca="1" si="1"/>
        <v>14</v>
      </c>
      <c r="B19" s="44"/>
      <c r="C19" s="33"/>
      <c r="D19" s="33"/>
      <c r="E19" s="33"/>
      <c r="F19" s="33"/>
      <c r="G19" s="33"/>
      <c r="H19" s="33"/>
      <c r="I19" s="33"/>
      <c r="J19" s="33"/>
    </row>
    <row r="20" spans="1:10" ht="15.75" customHeight="1" x14ac:dyDescent="0.45">
      <c r="A20" s="71"/>
      <c r="B20" s="71"/>
      <c r="C20" s="220" t="s">
        <v>161</v>
      </c>
      <c r="D20" s="221"/>
      <c r="E20" s="224">
        <f>SUM(E6:E19)</f>
        <v>20</v>
      </c>
      <c r="F20" s="71"/>
      <c r="G20" s="71"/>
      <c r="H20" s="71"/>
      <c r="I20" s="71"/>
      <c r="J20" s="71"/>
    </row>
    <row r="21" spans="1:10" ht="15.75" customHeight="1" thickBot="1" x14ac:dyDescent="0.5">
      <c r="A21" s="71"/>
      <c r="B21" s="71"/>
      <c r="C21" s="222"/>
      <c r="D21" s="223"/>
      <c r="E21" s="225"/>
      <c r="F21" s="71"/>
      <c r="G21" s="71"/>
      <c r="H21" s="71"/>
      <c r="I21" s="71"/>
      <c r="J21" s="71"/>
    </row>
    <row r="22" spans="1:10" ht="15.75" customHeight="1" x14ac:dyDescent="0.25">
      <c r="C22" s="220" t="s">
        <v>162</v>
      </c>
      <c r="D22" s="221"/>
      <c r="E22" s="224">
        <v>24</v>
      </c>
    </row>
    <row r="23" spans="1:10" ht="15.75" customHeight="1" thickBot="1" x14ac:dyDescent="0.3">
      <c r="C23" s="222"/>
      <c r="D23" s="223"/>
      <c r="E23" s="225"/>
    </row>
    <row r="24" spans="1:10" ht="15.75" customHeight="1" x14ac:dyDescent="0.25">
      <c r="C24" s="220" t="s">
        <v>164</v>
      </c>
      <c r="D24" s="221"/>
      <c r="E24" s="224">
        <f>SUM(E6:E16)-E7</f>
        <v>15</v>
      </c>
    </row>
    <row r="25" spans="1:10" ht="15.75" customHeight="1" thickBot="1" x14ac:dyDescent="0.3">
      <c r="C25" s="222"/>
      <c r="D25" s="223"/>
      <c r="E25" s="225"/>
    </row>
  </sheetData>
  <mergeCells count="8">
    <mergeCell ref="A1:J2"/>
    <mergeCell ref="C20:D21"/>
    <mergeCell ref="E20:E21"/>
    <mergeCell ref="C24:D25"/>
    <mergeCell ref="E24:E25"/>
    <mergeCell ref="C22:D23"/>
    <mergeCell ref="E22:E23"/>
    <mergeCell ref="A3:J4"/>
  </mergeCells>
  <conditionalFormatting sqref="F5">
    <cfRule type="containsText" dxfId="10" priority="1" operator="containsText" text="Vertex42">
      <formula>NOT(ISERROR(SEARCH(("Vertex42"),(F5))))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68E3-2105-4B3F-8F38-B95CAF480DCA}">
  <sheetPr codeName="Sheet3"/>
  <dimension ref="A1:F41"/>
  <sheetViews>
    <sheetView rightToLeft="1" tabSelected="1" workbookViewId="0">
      <selection activeCell="C15" sqref="C15"/>
    </sheetView>
  </sheetViews>
  <sheetFormatPr defaultRowHeight="13.2" x14ac:dyDescent="0.25"/>
  <cols>
    <col min="1" max="1" width="12.88671875" customWidth="1"/>
    <col min="2" max="2" width="18.88671875" customWidth="1"/>
    <col min="3" max="3" width="43.6640625" customWidth="1"/>
    <col min="4" max="4" width="17.21875" customWidth="1"/>
    <col min="5" max="5" width="12.5546875" bestFit="1" customWidth="1"/>
    <col min="6" max="6" width="14.44140625" customWidth="1"/>
  </cols>
  <sheetData>
    <row r="1" spans="1:6" x14ac:dyDescent="0.25">
      <c r="A1" s="227" t="s">
        <v>148</v>
      </c>
      <c r="B1" s="210"/>
      <c r="C1" s="210"/>
      <c r="D1" s="210"/>
      <c r="E1" s="210"/>
      <c r="F1" s="210"/>
    </row>
    <row r="2" spans="1:6" x14ac:dyDescent="0.25">
      <c r="A2" s="227"/>
      <c r="B2" s="210"/>
      <c r="C2" s="210"/>
      <c r="D2" s="210"/>
      <c r="E2" s="210"/>
      <c r="F2" s="210"/>
    </row>
    <row r="3" spans="1:6" x14ac:dyDescent="0.25">
      <c r="A3" s="228" t="s">
        <v>172</v>
      </c>
      <c r="B3" s="229"/>
      <c r="C3" s="229"/>
      <c r="D3" s="229"/>
      <c r="E3" s="229"/>
      <c r="F3" s="229"/>
    </row>
    <row r="4" spans="1:6" x14ac:dyDescent="0.25">
      <c r="A4" s="230"/>
      <c r="B4" s="231"/>
      <c r="C4" s="231"/>
      <c r="D4" s="231"/>
      <c r="E4" s="231"/>
      <c r="F4" s="231"/>
    </row>
    <row r="5" spans="1:6" ht="25.2" x14ac:dyDescent="0.25">
      <c r="A5" s="114" t="s">
        <v>57</v>
      </c>
      <c r="B5" s="114" t="s">
        <v>173</v>
      </c>
      <c r="C5" s="115" t="s">
        <v>174</v>
      </c>
      <c r="D5" s="115" t="s">
        <v>175</v>
      </c>
      <c r="E5" s="115" t="s">
        <v>176</v>
      </c>
      <c r="F5" s="115" t="s">
        <v>76</v>
      </c>
    </row>
    <row r="6" spans="1:6" ht="29.4" x14ac:dyDescent="0.25">
      <c r="A6" s="116">
        <v>1</v>
      </c>
      <c r="B6" s="117" t="s">
        <v>182</v>
      </c>
      <c r="C6" s="118" t="s">
        <v>280</v>
      </c>
      <c r="D6" s="119" t="s">
        <v>177</v>
      </c>
      <c r="E6" s="120">
        <v>1</v>
      </c>
      <c r="F6" s="120" t="s">
        <v>289</v>
      </c>
    </row>
    <row r="7" spans="1:6" ht="29.4" x14ac:dyDescent="0.25">
      <c r="A7" s="121">
        <f t="shared" ref="A7:A11" ca="1" si="0">OFFSET(A7,-1,0,1,1)+1</f>
        <v>2</v>
      </c>
      <c r="B7" s="117" t="s">
        <v>182</v>
      </c>
      <c r="C7" s="113" t="s">
        <v>30</v>
      </c>
      <c r="D7" s="42" t="s">
        <v>180</v>
      </c>
      <c r="E7" s="74">
        <v>2</v>
      </c>
      <c r="F7" s="120" t="s">
        <v>289</v>
      </c>
    </row>
    <row r="8" spans="1:6" ht="29.4" x14ac:dyDescent="0.25">
      <c r="A8" s="121">
        <f t="shared" ca="1" si="0"/>
        <v>3</v>
      </c>
      <c r="B8" s="117" t="s">
        <v>182</v>
      </c>
      <c r="C8" s="113" t="s">
        <v>280</v>
      </c>
      <c r="D8" s="42" t="s">
        <v>181</v>
      </c>
      <c r="E8" s="74">
        <v>3</v>
      </c>
      <c r="F8" s="120" t="s">
        <v>289</v>
      </c>
    </row>
    <row r="9" spans="1:6" ht="29.4" x14ac:dyDescent="0.25">
      <c r="A9" s="121">
        <f t="shared" ca="1" si="0"/>
        <v>4</v>
      </c>
      <c r="B9" s="117" t="s">
        <v>182</v>
      </c>
      <c r="C9" s="159" t="s">
        <v>278</v>
      </c>
      <c r="D9" s="42" t="s">
        <v>183</v>
      </c>
      <c r="E9" s="74">
        <v>4</v>
      </c>
      <c r="F9" s="120" t="s">
        <v>178</v>
      </c>
    </row>
    <row r="10" spans="1:6" ht="29.4" x14ac:dyDescent="0.25">
      <c r="A10" s="121">
        <f t="shared" ca="1" si="0"/>
        <v>5</v>
      </c>
      <c r="B10" s="117" t="s">
        <v>182</v>
      </c>
      <c r="C10" s="113" t="s">
        <v>17</v>
      </c>
      <c r="D10" s="42" t="s">
        <v>184</v>
      </c>
      <c r="E10" s="74">
        <v>5</v>
      </c>
      <c r="F10" s="120" t="s">
        <v>289</v>
      </c>
    </row>
    <row r="11" spans="1:6" ht="29.4" x14ac:dyDescent="0.25">
      <c r="A11" s="121">
        <f t="shared" ca="1" si="0"/>
        <v>6</v>
      </c>
      <c r="B11" s="117" t="s">
        <v>182</v>
      </c>
      <c r="C11" s="166" t="s">
        <v>17</v>
      </c>
      <c r="D11" s="42" t="s">
        <v>185</v>
      </c>
      <c r="E11" s="74">
        <v>6</v>
      </c>
      <c r="F11" s="120" t="s">
        <v>289</v>
      </c>
    </row>
    <row r="12" spans="1:6" ht="29.4" x14ac:dyDescent="0.25">
      <c r="A12" s="121">
        <v>7</v>
      </c>
      <c r="B12" s="117" t="s">
        <v>182</v>
      </c>
      <c r="C12" s="113" t="s">
        <v>27</v>
      </c>
      <c r="D12" s="42" t="s">
        <v>186</v>
      </c>
      <c r="E12" s="74">
        <v>7</v>
      </c>
      <c r="F12" s="120" t="s">
        <v>289</v>
      </c>
    </row>
    <row r="13" spans="1:6" ht="29.4" x14ac:dyDescent="0.25">
      <c r="A13" s="121">
        <f t="shared" ref="A13:A41" ca="1" si="1">OFFSET(A13,-1,0,1,1)+1</f>
        <v>8</v>
      </c>
      <c r="B13" s="117" t="s">
        <v>182</v>
      </c>
      <c r="C13" s="113" t="s">
        <v>17</v>
      </c>
      <c r="D13" s="42" t="s">
        <v>187</v>
      </c>
      <c r="E13" s="74">
        <v>8</v>
      </c>
      <c r="F13" s="120" t="s">
        <v>289</v>
      </c>
    </row>
    <row r="14" spans="1:6" ht="29.4" x14ac:dyDescent="0.25">
      <c r="A14" s="121">
        <f t="shared" ca="1" si="1"/>
        <v>9</v>
      </c>
      <c r="B14" s="117" t="s">
        <v>182</v>
      </c>
      <c r="C14" s="113" t="s">
        <v>335</v>
      </c>
      <c r="D14" s="42" t="s">
        <v>188</v>
      </c>
      <c r="E14" s="74">
        <v>9</v>
      </c>
      <c r="F14" s="120" t="s">
        <v>289</v>
      </c>
    </row>
    <row r="15" spans="1:6" ht="29.4" x14ac:dyDescent="0.25">
      <c r="A15" s="121">
        <f t="shared" ca="1" si="1"/>
        <v>10</v>
      </c>
      <c r="B15" s="117" t="s">
        <v>182</v>
      </c>
      <c r="C15" s="113" t="s">
        <v>279</v>
      </c>
      <c r="D15" s="42" t="s">
        <v>189</v>
      </c>
      <c r="E15" s="74">
        <v>10</v>
      </c>
      <c r="F15" s="120" t="s">
        <v>289</v>
      </c>
    </row>
    <row r="16" spans="1:6" ht="29.4" x14ac:dyDescent="0.25">
      <c r="A16" s="121">
        <f t="shared" ca="1" si="1"/>
        <v>11</v>
      </c>
      <c r="B16" s="117" t="s">
        <v>182</v>
      </c>
      <c r="C16" s="113" t="s">
        <v>356</v>
      </c>
      <c r="D16" s="42" t="s">
        <v>190</v>
      </c>
      <c r="E16" s="74">
        <v>11</v>
      </c>
      <c r="F16" s="120" t="s">
        <v>289</v>
      </c>
    </row>
    <row r="17" spans="1:6" ht="29.4" x14ac:dyDescent="0.25">
      <c r="A17" s="121">
        <f t="shared" ca="1" si="1"/>
        <v>12</v>
      </c>
      <c r="B17" s="117" t="s">
        <v>182</v>
      </c>
      <c r="C17" s="159" t="s">
        <v>355</v>
      </c>
      <c r="D17" s="42" t="s">
        <v>191</v>
      </c>
      <c r="E17" s="74">
        <v>12</v>
      </c>
      <c r="F17" s="120" t="s">
        <v>289</v>
      </c>
    </row>
    <row r="18" spans="1:6" ht="29.4" x14ac:dyDescent="0.25">
      <c r="A18" s="121">
        <f t="shared" ca="1" si="1"/>
        <v>13</v>
      </c>
      <c r="B18" s="117" t="s">
        <v>182</v>
      </c>
      <c r="C18" s="113" t="s">
        <v>83</v>
      </c>
      <c r="D18" s="42" t="s">
        <v>192</v>
      </c>
      <c r="E18" s="74">
        <v>13</v>
      </c>
      <c r="F18" s="120" t="s">
        <v>178</v>
      </c>
    </row>
    <row r="19" spans="1:6" ht="29.4" x14ac:dyDescent="0.25">
      <c r="A19" s="121">
        <f t="shared" ca="1" si="1"/>
        <v>14</v>
      </c>
      <c r="B19" s="117" t="s">
        <v>182</v>
      </c>
      <c r="C19" s="113" t="s">
        <v>27</v>
      </c>
      <c r="D19" s="42" t="s">
        <v>193</v>
      </c>
      <c r="E19" s="74">
        <v>14</v>
      </c>
      <c r="F19" s="120" t="s">
        <v>289</v>
      </c>
    </row>
    <row r="20" spans="1:6" ht="29.4" x14ac:dyDescent="0.25">
      <c r="A20" s="121">
        <f t="shared" ca="1" si="1"/>
        <v>15</v>
      </c>
      <c r="B20" s="117" t="s">
        <v>182</v>
      </c>
      <c r="C20" s="113" t="s">
        <v>335</v>
      </c>
      <c r="D20" s="42" t="s">
        <v>194</v>
      </c>
      <c r="E20" s="74">
        <v>15</v>
      </c>
      <c r="F20" s="120" t="s">
        <v>178</v>
      </c>
    </row>
    <row r="21" spans="1:6" ht="29.4" x14ac:dyDescent="0.25">
      <c r="A21" s="121">
        <f t="shared" ca="1" si="1"/>
        <v>16</v>
      </c>
      <c r="B21" s="117" t="s">
        <v>182</v>
      </c>
      <c r="C21" s="159" t="s">
        <v>83</v>
      </c>
      <c r="D21" s="42" t="s">
        <v>195</v>
      </c>
      <c r="E21" s="74">
        <v>16</v>
      </c>
      <c r="F21" s="120" t="s">
        <v>178</v>
      </c>
    </row>
    <row r="22" spans="1:6" ht="29.4" x14ac:dyDescent="0.25">
      <c r="A22" s="121">
        <f t="shared" ca="1" si="1"/>
        <v>17</v>
      </c>
      <c r="B22" s="117" t="s">
        <v>182</v>
      </c>
      <c r="C22" s="113" t="s">
        <v>280</v>
      </c>
      <c r="D22" s="42" t="s">
        <v>196</v>
      </c>
      <c r="E22" s="74">
        <v>17</v>
      </c>
      <c r="F22" s="120" t="s">
        <v>289</v>
      </c>
    </row>
    <row r="23" spans="1:6" ht="29.4" x14ac:dyDescent="0.25">
      <c r="A23" s="121">
        <f t="shared" ca="1" si="1"/>
        <v>18</v>
      </c>
      <c r="B23" s="117" t="s">
        <v>182</v>
      </c>
      <c r="C23" s="160" t="s">
        <v>27</v>
      </c>
      <c r="D23" s="42" t="s">
        <v>197</v>
      </c>
      <c r="E23" s="74">
        <v>18</v>
      </c>
      <c r="F23" s="120" t="s">
        <v>289</v>
      </c>
    </row>
    <row r="24" spans="1:6" ht="29.4" x14ac:dyDescent="0.25">
      <c r="A24" s="121">
        <f t="shared" ca="1" si="1"/>
        <v>19</v>
      </c>
      <c r="B24" s="117" t="s">
        <v>179</v>
      </c>
      <c r="C24" s="161"/>
      <c r="D24" s="42" t="s">
        <v>198</v>
      </c>
      <c r="E24" s="74">
        <v>19</v>
      </c>
      <c r="F24" s="120" t="s">
        <v>178</v>
      </c>
    </row>
    <row r="25" spans="1:6" ht="29.4" x14ac:dyDescent="0.25">
      <c r="A25" s="121">
        <f t="shared" ca="1" si="1"/>
        <v>20</v>
      </c>
      <c r="B25" s="117" t="s">
        <v>303</v>
      </c>
      <c r="C25" s="167" t="s">
        <v>281</v>
      </c>
      <c r="D25" s="42" t="s">
        <v>199</v>
      </c>
      <c r="E25" s="74">
        <v>20</v>
      </c>
      <c r="F25" s="120" t="s">
        <v>289</v>
      </c>
    </row>
    <row r="26" spans="1:6" ht="29.4" x14ac:dyDescent="0.25">
      <c r="A26" s="121">
        <f t="shared" ca="1" si="1"/>
        <v>21</v>
      </c>
      <c r="B26" s="117" t="s">
        <v>182</v>
      </c>
      <c r="C26" s="160" t="s">
        <v>304</v>
      </c>
      <c r="D26" s="42" t="s">
        <v>200</v>
      </c>
      <c r="E26" s="74">
        <v>21</v>
      </c>
      <c r="F26" s="120" t="s">
        <v>178</v>
      </c>
    </row>
    <row r="27" spans="1:6" ht="29.4" x14ac:dyDescent="0.25">
      <c r="A27" s="121">
        <f t="shared" ca="1" si="1"/>
        <v>22</v>
      </c>
      <c r="B27" s="117" t="s">
        <v>303</v>
      </c>
      <c r="C27" s="167" t="s">
        <v>282</v>
      </c>
      <c r="D27" s="42" t="s">
        <v>201</v>
      </c>
      <c r="E27" s="74">
        <v>22</v>
      </c>
      <c r="F27" s="120" t="s">
        <v>289</v>
      </c>
    </row>
    <row r="28" spans="1:6" ht="29.4" x14ac:dyDescent="0.25">
      <c r="A28" s="121">
        <f t="shared" ca="1" si="1"/>
        <v>23</v>
      </c>
      <c r="B28" s="117" t="s">
        <v>182</v>
      </c>
      <c r="C28" s="113" t="s">
        <v>78</v>
      </c>
      <c r="D28" s="42" t="s">
        <v>202</v>
      </c>
      <c r="E28" s="74">
        <v>23</v>
      </c>
      <c r="F28" s="120" t="s">
        <v>178</v>
      </c>
    </row>
    <row r="29" spans="1:6" ht="29.4" x14ac:dyDescent="0.25">
      <c r="A29" s="121">
        <f t="shared" ca="1" si="1"/>
        <v>24</v>
      </c>
      <c r="B29" s="117" t="s">
        <v>303</v>
      </c>
      <c r="C29" s="184" t="s">
        <v>283</v>
      </c>
      <c r="D29" s="42" t="s">
        <v>203</v>
      </c>
      <c r="E29" s="74">
        <v>24</v>
      </c>
      <c r="F29" s="120" t="s">
        <v>289</v>
      </c>
    </row>
    <row r="30" spans="1:6" ht="29.4" x14ac:dyDescent="0.25">
      <c r="A30" s="121">
        <f t="shared" ca="1" si="1"/>
        <v>25</v>
      </c>
      <c r="B30" s="117" t="s">
        <v>303</v>
      </c>
      <c r="C30" s="184" t="s">
        <v>284</v>
      </c>
      <c r="D30" s="42" t="s">
        <v>204</v>
      </c>
      <c r="E30" s="74">
        <v>25</v>
      </c>
      <c r="F30" s="120" t="s">
        <v>178</v>
      </c>
    </row>
    <row r="31" spans="1:6" ht="29.4" x14ac:dyDescent="0.25">
      <c r="A31" s="121">
        <f t="shared" ca="1" si="1"/>
        <v>26</v>
      </c>
      <c r="B31" s="117" t="s">
        <v>138</v>
      </c>
      <c r="C31" s="113" t="s">
        <v>229</v>
      </c>
      <c r="D31" s="42" t="s">
        <v>205</v>
      </c>
      <c r="E31" s="74">
        <v>26</v>
      </c>
      <c r="F31" s="120" t="s">
        <v>289</v>
      </c>
    </row>
    <row r="32" spans="1:6" ht="29.4" x14ac:dyDescent="0.25">
      <c r="A32" s="121">
        <f t="shared" ca="1" si="1"/>
        <v>27</v>
      </c>
      <c r="B32" s="117" t="s">
        <v>179</v>
      </c>
      <c r="C32" s="184" t="s">
        <v>285</v>
      </c>
      <c r="D32" s="42" t="s">
        <v>206</v>
      </c>
      <c r="E32" s="74">
        <v>27</v>
      </c>
      <c r="F32" s="120" t="s">
        <v>178</v>
      </c>
    </row>
    <row r="33" spans="1:6" ht="29.4" x14ac:dyDescent="0.25">
      <c r="A33" s="121">
        <f t="shared" ca="1" si="1"/>
        <v>28</v>
      </c>
      <c r="B33" s="117" t="s">
        <v>182</v>
      </c>
      <c r="C33" s="113" t="s">
        <v>335</v>
      </c>
      <c r="D33" s="42" t="s">
        <v>207</v>
      </c>
      <c r="E33" s="74">
        <v>28</v>
      </c>
      <c r="F33" s="120" t="s">
        <v>178</v>
      </c>
    </row>
    <row r="34" spans="1:6" ht="29.4" x14ac:dyDescent="0.25">
      <c r="A34" s="121">
        <f t="shared" ca="1" si="1"/>
        <v>29</v>
      </c>
      <c r="B34" s="117" t="s">
        <v>182</v>
      </c>
      <c r="C34" s="183" t="s">
        <v>286</v>
      </c>
      <c r="D34" s="42" t="s">
        <v>208</v>
      </c>
      <c r="E34" s="74">
        <v>29</v>
      </c>
      <c r="F34" s="120" t="s">
        <v>178</v>
      </c>
    </row>
    <row r="35" spans="1:6" ht="29.4" x14ac:dyDescent="0.25">
      <c r="A35" s="121">
        <f t="shared" ca="1" si="1"/>
        <v>30</v>
      </c>
      <c r="B35" s="117" t="s">
        <v>182</v>
      </c>
      <c r="C35" s="113" t="s">
        <v>158</v>
      </c>
      <c r="D35" s="42" t="s">
        <v>209</v>
      </c>
      <c r="E35" s="74">
        <v>30</v>
      </c>
      <c r="F35" s="120" t="s">
        <v>289</v>
      </c>
    </row>
    <row r="36" spans="1:6" ht="29.4" x14ac:dyDescent="0.25">
      <c r="A36" s="121">
        <f t="shared" ca="1" si="1"/>
        <v>31</v>
      </c>
      <c r="B36" s="117" t="s">
        <v>182</v>
      </c>
      <c r="C36" s="113" t="s">
        <v>83</v>
      </c>
      <c r="D36" s="42" t="s">
        <v>210</v>
      </c>
      <c r="E36" s="74">
        <v>31</v>
      </c>
      <c r="F36" s="120" t="s">
        <v>178</v>
      </c>
    </row>
    <row r="37" spans="1:6" ht="29.4" x14ac:dyDescent="0.25">
      <c r="A37" s="121">
        <f t="shared" ca="1" si="1"/>
        <v>32</v>
      </c>
      <c r="B37" s="117" t="s">
        <v>182</v>
      </c>
      <c r="C37" s="159" t="s">
        <v>35</v>
      </c>
      <c r="D37" s="42" t="s">
        <v>211</v>
      </c>
      <c r="E37" s="74">
        <v>32</v>
      </c>
      <c r="F37" s="120" t="s">
        <v>289</v>
      </c>
    </row>
    <row r="38" spans="1:6" ht="29.4" x14ac:dyDescent="0.25">
      <c r="A38" s="121">
        <f t="shared" ca="1" si="1"/>
        <v>33</v>
      </c>
      <c r="B38" s="117" t="s">
        <v>303</v>
      </c>
      <c r="C38" s="159" t="s">
        <v>287</v>
      </c>
      <c r="D38" s="42" t="s">
        <v>212</v>
      </c>
      <c r="E38" s="74">
        <v>33</v>
      </c>
      <c r="F38" s="120" t="s">
        <v>178</v>
      </c>
    </row>
    <row r="39" spans="1:6" ht="29.4" x14ac:dyDescent="0.25">
      <c r="A39" s="121">
        <f t="shared" ca="1" si="1"/>
        <v>34</v>
      </c>
      <c r="B39" s="117" t="s">
        <v>303</v>
      </c>
      <c r="C39" s="159" t="s">
        <v>288</v>
      </c>
      <c r="D39" s="42" t="s">
        <v>213</v>
      </c>
      <c r="E39" s="74">
        <v>34</v>
      </c>
      <c r="F39" s="120" t="s">
        <v>289</v>
      </c>
    </row>
    <row r="40" spans="1:6" ht="29.4" x14ac:dyDescent="0.25">
      <c r="A40" s="121">
        <f t="shared" ca="1" si="1"/>
        <v>35</v>
      </c>
      <c r="B40" s="117" t="s">
        <v>182</v>
      </c>
      <c r="C40" s="113" t="s">
        <v>158</v>
      </c>
      <c r="D40" s="42" t="s">
        <v>214</v>
      </c>
      <c r="E40" s="74">
        <v>35</v>
      </c>
      <c r="F40" s="120" t="s">
        <v>178</v>
      </c>
    </row>
    <row r="41" spans="1:6" ht="29.4" x14ac:dyDescent="0.25">
      <c r="A41" s="121">
        <f t="shared" ca="1" si="1"/>
        <v>36</v>
      </c>
      <c r="B41" s="117" t="s">
        <v>182</v>
      </c>
      <c r="C41" s="113" t="s">
        <v>87</v>
      </c>
      <c r="D41" s="42" t="s">
        <v>215</v>
      </c>
      <c r="E41" s="74">
        <v>36</v>
      </c>
      <c r="F41" s="120" t="s">
        <v>289</v>
      </c>
    </row>
  </sheetData>
  <mergeCells count="2">
    <mergeCell ref="A1:F2"/>
    <mergeCell ref="A3:F4"/>
  </mergeCells>
  <conditionalFormatting sqref="B6:B41">
    <cfRule type="expression" dxfId="9" priority="3">
      <formula>B6="رزرو"</formula>
    </cfRule>
    <cfRule type="expression" dxfId="8" priority="4">
      <formula>B6="خالی"</formula>
    </cfRule>
    <cfRule type="expression" dxfId="7" priority="5">
      <formula>B6="تخصیص یافته"</formula>
    </cfRule>
    <cfRule type="expression" dxfId="6" priority="6">
      <formula>B6="خراب"</formula>
    </cfRule>
  </conditionalFormatting>
  <conditionalFormatting sqref="F6:F41">
    <cfRule type="expression" dxfId="5" priority="1">
      <formula>F6="ندارد"</formula>
    </cfRule>
    <cfRule type="expression" dxfId="4" priority="2">
      <formula>F6="دارد"</formula>
    </cfRule>
  </conditionalFormatting>
  <dataValidations count="2">
    <dataValidation type="list" allowBlank="1" showInputMessage="1" showErrorMessage="1" sqref="F6:F41" xr:uid="{49079424-D144-459D-8294-B1C5AEDB59C0}">
      <formula1>"دارد,ندارد"</formula1>
    </dataValidation>
    <dataValidation type="list" allowBlank="1" showInputMessage="1" showErrorMessage="1" sqref="B6:B41" xr:uid="{B4D04FC2-14BA-499E-BBD3-909210DA53D4}">
      <formula1>"خراب,خالی,تخصیص یافته,رزرو"</formula1>
    </dataValidation>
  </dataValidation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7223-DBD5-4796-BE0C-703980687E0C}">
  <sheetPr codeName="Sheet4"/>
  <dimension ref="A1:V22"/>
  <sheetViews>
    <sheetView rightToLeft="1" topLeftCell="A5" zoomScale="90" zoomScaleNormal="90" workbookViewId="0">
      <selection activeCell="I14" sqref="I14"/>
    </sheetView>
  </sheetViews>
  <sheetFormatPr defaultRowHeight="13.2" x14ac:dyDescent="0.25"/>
  <cols>
    <col min="1" max="1" width="6.6640625" bestFit="1" customWidth="1"/>
    <col min="2" max="2" width="26.6640625" bestFit="1" customWidth="1"/>
    <col min="3" max="3" width="21.109375" bestFit="1" customWidth="1"/>
    <col min="4" max="4" width="11" bestFit="1" customWidth="1"/>
    <col min="5" max="5" width="10" bestFit="1" customWidth="1"/>
    <col min="6" max="6" width="11.88671875" bestFit="1" customWidth="1"/>
    <col min="7" max="7" width="7" bestFit="1" customWidth="1"/>
    <col min="8" max="8" width="4.33203125" bestFit="1" customWidth="1"/>
    <col min="9" max="9" width="6.44140625" bestFit="1" customWidth="1"/>
    <col min="10" max="10" width="9.33203125" bestFit="1" customWidth="1"/>
    <col min="11" max="11" width="5" bestFit="1" customWidth="1"/>
    <col min="12" max="13" width="12.109375" bestFit="1" customWidth="1"/>
    <col min="14" max="14" width="17.6640625" customWidth="1"/>
    <col min="15" max="15" width="13.33203125" bestFit="1" customWidth="1"/>
    <col min="16" max="16" width="12.44140625" bestFit="1" customWidth="1"/>
  </cols>
  <sheetData>
    <row r="1" spans="1:22" x14ac:dyDescent="0.25">
      <c r="A1" s="227" t="s">
        <v>148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41" t="s">
        <v>346</v>
      </c>
      <c r="R1" s="242"/>
      <c r="S1" s="243"/>
      <c r="T1" s="241">
        <v>600000</v>
      </c>
      <c r="U1" s="242"/>
      <c r="V1" s="243"/>
    </row>
    <row r="2" spans="1:22" ht="13.8" thickBot="1" x14ac:dyDescent="0.3">
      <c r="A2" s="227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44"/>
      <c r="R2" s="245"/>
      <c r="S2" s="246"/>
      <c r="T2" s="244"/>
      <c r="U2" s="245"/>
      <c r="V2" s="246"/>
    </row>
    <row r="3" spans="1:22" x14ac:dyDescent="0.25">
      <c r="A3" s="228" t="s">
        <v>216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41" t="s">
        <v>345</v>
      </c>
      <c r="R3" s="242"/>
      <c r="S3" s="243"/>
      <c r="T3" s="241">
        <v>900000</v>
      </c>
      <c r="U3" s="242"/>
      <c r="V3" s="243"/>
    </row>
    <row r="4" spans="1:22" ht="13.8" thickBot="1" x14ac:dyDescent="0.3">
      <c r="A4" s="230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44"/>
      <c r="R4" s="245"/>
      <c r="S4" s="246"/>
      <c r="T4" s="244"/>
      <c r="U4" s="245"/>
      <c r="V4" s="246"/>
    </row>
    <row r="5" spans="1:22" ht="25.8" thickBot="1" x14ac:dyDescent="0.3">
      <c r="A5" s="122" t="s">
        <v>149</v>
      </c>
      <c r="B5" s="123" t="s">
        <v>1</v>
      </c>
      <c r="C5" s="123" t="s">
        <v>48</v>
      </c>
      <c r="D5" s="124" t="s">
        <v>159</v>
      </c>
      <c r="E5" s="125" t="s">
        <v>217</v>
      </c>
      <c r="F5" s="41" t="s">
        <v>218</v>
      </c>
      <c r="G5" s="41" t="s">
        <v>219</v>
      </c>
      <c r="H5" s="41" t="s">
        <v>220</v>
      </c>
      <c r="I5" s="41" t="s">
        <v>221</v>
      </c>
      <c r="J5" s="41" t="s">
        <v>222</v>
      </c>
      <c r="K5" s="126" t="s">
        <v>223</v>
      </c>
      <c r="L5" s="126" t="s">
        <v>224</v>
      </c>
      <c r="M5" s="126" t="s">
        <v>225</v>
      </c>
      <c r="N5" s="126" t="s">
        <v>226</v>
      </c>
      <c r="O5" s="126" t="s">
        <v>227</v>
      </c>
      <c r="P5" s="126" t="s">
        <v>228</v>
      </c>
    </row>
    <row r="6" spans="1:22" ht="30" thickBot="1" x14ac:dyDescent="0.3">
      <c r="A6" s="44">
        <v>1</v>
      </c>
      <c r="B6" s="127" t="s">
        <v>141</v>
      </c>
      <c r="C6" s="42" t="s">
        <v>22</v>
      </c>
      <c r="D6" s="128">
        <v>2</v>
      </c>
      <c r="E6" s="163" t="s">
        <v>229</v>
      </c>
      <c r="F6" s="164" t="s">
        <v>229</v>
      </c>
      <c r="G6" s="164" t="s">
        <v>229</v>
      </c>
      <c r="H6" s="164" t="s">
        <v>229</v>
      </c>
      <c r="I6" s="164" t="s">
        <v>229</v>
      </c>
      <c r="J6" s="164" t="s">
        <v>229</v>
      </c>
      <c r="K6" s="164" t="s">
        <v>229</v>
      </c>
      <c r="L6" s="162">
        <f>T1*D6</f>
        <v>1200000</v>
      </c>
      <c r="M6" s="162">
        <f>T1*D6</f>
        <v>1200000</v>
      </c>
      <c r="N6" s="162">
        <f>T1*D6</f>
        <v>1200000</v>
      </c>
      <c r="O6" s="162">
        <f>T1*D6</f>
        <v>1200000</v>
      </c>
      <c r="P6" s="162">
        <f>T1*D6</f>
        <v>1200000</v>
      </c>
      <c r="Q6" s="238" t="s">
        <v>302</v>
      </c>
      <c r="R6" s="239"/>
      <c r="S6" s="239"/>
      <c r="T6" s="239"/>
      <c r="U6" s="239"/>
      <c r="V6" s="240"/>
    </row>
    <row r="7" spans="1:22" ht="29.4" x14ac:dyDescent="0.25">
      <c r="A7" s="44">
        <f t="shared" ref="A7:A11" ca="1" si="0">OFFSET(A7,-1,0,1,1)+1</f>
        <v>2</v>
      </c>
      <c r="B7" s="130" t="s">
        <v>38</v>
      </c>
      <c r="C7" s="44" t="s">
        <v>39</v>
      </c>
      <c r="D7" s="131">
        <v>5</v>
      </c>
      <c r="E7" s="163" t="s">
        <v>229</v>
      </c>
      <c r="F7" s="164" t="s">
        <v>229</v>
      </c>
      <c r="G7" s="164" t="s">
        <v>229</v>
      </c>
      <c r="H7" s="164" t="s">
        <v>229</v>
      </c>
      <c r="I7" s="164" t="s">
        <v>229</v>
      </c>
      <c r="J7" s="164" t="s">
        <v>229</v>
      </c>
      <c r="K7" s="164" t="s">
        <v>229</v>
      </c>
      <c r="L7" s="165" t="s">
        <v>229</v>
      </c>
      <c r="M7" s="193" t="s">
        <v>229</v>
      </c>
      <c r="N7" s="190" t="s">
        <v>229</v>
      </c>
      <c r="O7" s="165" t="s">
        <v>229</v>
      </c>
      <c r="P7" s="165" t="s">
        <v>229</v>
      </c>
    </row>
    <row r="8" spans="1:22" ht="29.4" x14ac:dyDescent="0.25">
      <c r="A8" s="44">
        <f t="shared" ca="1" si="0"/>
        <v>3</v>
      </c>
      <c r="B8" s="130" t="s">
        <v>27</v>
      </c>
      <c r="C8" s="44" t="s">
        <v>54</v>
      </c>
      <c r="D8" s="131">
        <v>1</v>
      </c>
      <c r="E8" s="163" t="s">
        <v>229</v>
      </c>
      <c r="F8" s="164" t="s">
        <v>229</v>
      </c>
      <c r="G8" s="164" t="s">
        <v>229</v>
      </c>
      <c r="H8" s="164" t="s">
        <v>229</v>
      </c>
      <c r="I8" s="164" t="s">
        <v>229</v>
      </c>
      <c r="J8" s="164" t="s">
        <v>229</v>
      </c>
      <c r="K8" s="164" t="s">
        <v>229</v>
      </c>
      <c r="L8" s="132">
        <f>700000*D8</f>
        <v>700000</v>
      </c>
      <c r="M8" s="194">
        <f>700000*D8</f>
        <v>700000</v>
      </c>
      <c r="N8" s="191">
        <f>T1*D8</f>
        <v>600000</v>
      </c>
      <c r="O8" s="129">
        <f>600000*D8</f>
        <v>600000</v>
      </c>
      <c r="P8" s="129">
        <f>600000*D8</f>
        <v>600000</v>
      </c>
    </row>
    <row r="9" spans="1:22" ht="29.4" x14ac:dyDescent="0.25">
      <c r="A9" s="44">
        <f t="shared" ca="1" si="0"/>
        <v>4</v>
      </c>
      <c r="B9" s="130" t="s">
        <v>17</v>
      </c>
      <c r="C9" s="44" t="s">
        <v>19</v>
      </c>
      <c r="D9" s="131">
        <v>3</v>
      </c>
      <c r="E9" s="163" t="s">
        <v>229</v>
      </c>
      <c r="F9" s="164" t="s">
        <v>229</v>
      </c>
      <c r="G9" s="164" t="s">
        <v>229</v>
      </c>
      <c r="H9" s="164" t="s">
        <v>229</v>
      </c>
      <c r="I9" s="164" t="s">
        <v>229</v>
      </c>
      <c r="J9" s="164" t="s">
        <v>229</v>
      </c>
      <c r="K9" s="164" t="s">
        <v>229</v>
      </c>
      <c r="L9" s="132">
        <f>700000*2</f>
        <v>1400000</v>
      </c>
      <c r="M9" s="194">
        <f>700000*D9</f>
        <v>2100000</v>
      </c>
      <c r="N9" s="191">
        <f>600000*D9</f>
        <v>1800000</v>
      </c>
      <c r="O9" s="129">
        <f>600000*D9</f>
        <v>1800000</v>
      </c>
      <c r="P9" s="129">
        <f>600000*D9</f>
        <v>1800000</v>
      </c>
    </row>
    <row r="10" spans="1:22" ht="29.4" x14ac:dyDescent="0.25">
      <c r="A10" s="44">
        <f t="shared" ca="1" si="0"/>
        <v>5</v>
      </c>
      <c r="B10" s="130" t="s">
        <v>30</v>
      </c>
      <c r="C10" s="44" t="s">
        <v>56</v>
      </c>
      <c r="D10" s="131">
        <v>1</v>
      </c>
      <c r="E10" s="163" t="s">
        <v>229</v>
      </c>
      <c r="F10" s="164" t="s">
        <v>229</v>
      </c>
      <c r="G10" s="164" t="s">
        <v>229</v>
      </c>
      <c r="H10" s="164" t="s">
        <v>229</v>
      </c>
      <c r="I10" s="164" t="s">
        <v>229</v>
      </c>
      <c r="J10" s="164" t="s">
        <v>229</v>
      </c>
      <c r="K10" s="164" t="s">
        <v>229</v>
      </c>
      <c r="L10" s="132">
        <f t="shared" ref="L10:L12" si="1">700000*D10</f>
        <v>700000</v>
      </c>
      <c r="M10" s="194">
        <f>700000*D10</f>
        <v>700000</v>
      </c>
      <c r="N10" s="191">
        <f>T1*D10</f>
        <v>600000</v>
      </c>
      <c r="O10" s="129">
        <f>T1*D10</f>
        <v>600000</v>
      </c>
      <c r="P10" s="129">
        <f>T1*D10</f>
        <v>600000</v>
      </c>
    </row>
    <row r="11" spans="1:22" ht="29.4" x14ac:dyDescent="0.25">
      <c r="A11" s="44">
        <f t="shared" ca="1" si="0"/>
        <v>6</v>
      </c>
      <c r="B11" s="130" t="s">
        <v>11</v>
      </c>
      <c r="C11" s="44" t="s">
        <v>12</v>
      </c>
      <c r="D11" s="131">
        <v>1</v>
      </c>
      <c r="E11" s="163" t="s">
        <v>229</v>
      </c>
      <c r="F11" s="164" t="s">
        <v>229</v>
      </c>
      <c r="G11" s="164" t="s">
        <v>229</v>
      </c>
      <c r="H11" s="164" t="s">
        <v>229</v>
      </c>
      <c r="I11" s="164" t="s">
        <v>229</v>
      </c>
      <c r="J11" s="164" t="s">
        <v>229</v>
      </c>
      <c r="K11" s="164" t="s">
        <v>229</v>
      </c>
      <c r="L11" s="132">
        <f t="shared" si="1"/>
        <v>700000</v>
      </c>
      <c r="M11" s="195">
        <f>700000*D11</f>
        <v>700000</v>
      </c>
      <c r="N11" s="191">
        <f>600000*D11</f>
        <v>600000</v>
      </c>
      <c r="O11" s="129">
        <f>T1*D11</f>
        <v>600000</v>
      </c>
      <c r="P11" s="129">
        <f>T1*D11</f>
        <v>600000</v>
      </c>
    </row>
    <row r="12" spans="1:22" ht="29.4" x14ac:dyDescent="0.25">
      <c r="A12" s="44">
        <v>7</v>
      </c>
      <c r="B12" s="130" t="s">
        <v>83</v>
      </c>
      <c r="C12" s="44" t="s">
        <v>61</v>
      </c>
      <c r="D12" s="131">
        <v>1</v>
      </c>
      <c r="E12" s="163" t="s">
        <v>229</v>
      </c>
      <c r="F12" s="164" t="s">
        <v>229</v>
      </c>
      <c r="G12" s="164" t="s">
        <v>229</v>
      </c>
      <c r="H12" s="164" t="s">
        <v>229</v>
      </c>
      <c r="I12" s="164" t="s">
        <v>229</v>
      </c>
      <c r="J12" s="164" t="s">
        <v>229</v>
      </c>
      <c r="K12" s="164" t="s">
        <v>229</v>
      </c>
      <c r="L12" s="132">
        <f t="shared" si="1"/>
        <v>700000</v>
      </c>
      <c r="M12" s="194">
        <f>700000*D12</f>
        <v>700000</v>
      </c>
      <c r="N12" s="191">
        <f>T1*D12</f>
        <v>600000</v>
      </c>
      <c r="O12" s="129">
        <f>T1*D12</f>
        <v>600000</v>
      </c>
      <c r="P12" s="129">
        <f>T1*D12</f>
        <v>600000</v>
      </c>
    </row>
    <row r="13" spans="1:22" ht="30" thickBot="1" x14ac:dyDescent="0.3">
      <c r="A13" s="44">
        <f t="shared" ref="A13:A19" ca="1" si="2">OFFSET(A13,-1,0,1,1)+1</f>
        <v>8</v>
      </c>
      <c r="B13" s="130" t="s">
        <v>158</v>
      </c>
      <c r="C13" s="44" t="s">
        <v>68</v>
      </c>
      <c r="D13" s="131">
        <v>3</v>
      </c>
      <c r="E13" s="163" t="s">
        <v>229</v>
      </c>
      <c r="F13" s="164" t="s">
        <v>229</v>
      </c>
      <c r="G13" s="164" t="s">
        <v>229</v>
      </c>
      <c r="H13" s="164" t="s">
        <v>229</v>
      </c>
      <c r="I13" s="164" t="s">
        <v>229</v>
      </c>
      <c r="J13" s="164" t="s">
        <v>229</v>
      </c>
      <c r="K13" s="164" t="s">
        <v>229</v>
      </c>
      <c r="L13" s="192">
        <f>T1*D13</f>
        <v>1800000</v>
      </c>
      <c r="M13" s="192">
        <f>T1*D13</f>
        <v>1800000</v>
      </c>
      <c r="N13" s="192">
        <f>T1*D13</f>
        <v>1800000</v>
      </c>
      <c r="O13" s="192">
        <f>T1*D13</f>
        <v>1800000</v>
      </c>
      <c r="P13" s="192">
        <f>T1*D13</f>
        <v>1800000</v>
      </c>
    </row>
    <row r="14" spans="1:22" ht="30" thickBot="1" x14ac:dyDescent="0.3">
      <c r="A14" s="44">
        <f t="shared" ca="1" si="2"/>
        <v>9</v>
      </c>
      <c r="B14" s="73" t="s">
        <v>82</v>
      </c>
      <c r="C14" s="44" t="s">
        <v>160</v>
      </c>
      <c r="D14" s="131">
        <v>1</v>
      </c>
      <c r="E14" s="163" t="s">
        <v>229</v>
      </c>
      <c r="F14" s="164" t="s">
        <v>229</v>
      </c>
      <c r="G14" s="164" t="s">
        <v>229</v>
      </c>
      <c r="H14" s="164" t="s">
        <v>229</v>
      </c>
      <c r="I14" s="164" t="s">
        <v>229</v>
      </c>
      <c r="J14" s="164" t="s">
        <v>229</v>
      </c>
      <c r="K14" s="164" t="s">
        <v>229</v>
      </c>
      <c r="L14" s="162">
        <f>T1*(D14)</f>
        <v>600000</v>
      </c>
      <c r="M14" s="196">
        <f>T1*(D14)</f>
        <v>600000</v>
      </c>
      <c r="N14" s="189">
        <f>T1*(D14)</f>
        <v>600000</v>
      </c>
      <c r="O14" s="162">
        <f>T1*(D14)</f>
        <v>600000</v>
      </c>
      <c r="P14" s="162">
        <f>T1*(D14)</f>
        <v>600000</v>
      </c>
      <c r="Q14" s="238" t="s">
        <v>302</v>
      </c>
      <c r="R14" s="239"/>
      <c r="S14" s="239"/>
      <c r="T14" s="239"/>
      <c r="U14" s="239"/>
      <c r="V14" s="240"/>
    </row>
    <row r="15" spans="1:22" ht="30" thickBot="1" x14ac:dyDescent="0.3">
      <c r="A15" s="44">
        <f t="shared" ca="1" si="2"/>
        <v>10</v>
      </c>
      <c r="B15" s="130" t="s">
        <v>78</v>
      </c>
      <c r="C15" s="44" t="s">
        <v>92</v>
      </c>
      <c r="D15" s="131">
        <v>1</v>
      </c>
      <c r="E15" s="163" t="s">
        <v>229</v>
      </c>
      <c r="F15" s="164" t="s">
        <v>229</v>
      </c>
      <c r="G15" s="164" t="s">
        <v>229</v>
      </c>
      <c r="H15" s="164" t="s">
        <v>229</v>
      </c>
      <c r="I15" s="164" t="s">
        <v>229</v>
      </c>
      <c r="J15" s="164" t="s">
        <v>229</v>
      </c>
      <c r="K15" s="164" t="s">
        <v>229</v>
      </c>
      <c r="L15" s="132">
        <f t="shared" ref="L15" si="3">700000*D15</f>
        <v>700000</v>
      </c>
      <c r="M15" s="194">
        <f>700000*D15</f>
        <v>700000</v>
      </c>
      <c r="N15" s="192">
        <f>T1*D15</f>
        <v>600000</v>
      </c>
      <c r="O15" s="129">
        <f>T1*D15</f>
        <v>600000</v>
      </c>
      <c r="P15" s="129">
        <f>T1*D15</f>
        <v>600000</v>
      </c>
    </row>
    <row r="16" spans="1:22" ht="30" thickBot="1" x14ac:dyDescent="0.3">
      <c r="A16" s="44">
        <f t="shared" ca="1" si="2"/>
        <v>11</v>
      </c>
      <c r="B16" s="73" t="s">
        <v>69</v>
      </c>
      <c r="C16" s="44" t="s">
        <v>67</v>
      </c>
      <c r="D16" s="131">
        <v>1</v>
      </c>
      <c r="E16" s="163" t="s">
        <v>229</v>
      </c>
      <c r="F16" s="163" t="s">
        <v>229</v>
      </c>
      <c r="G16" s="163" t="s">
        <v>229</v>
      </c>
      <c r="H16" s="163" t="s">
        <v>229</v>
      </c>
      <c r="I16" s="163" t="s">
        <v>229</v>
      </c>
      <c r="J16" s="163" t="s">
        <v>229</v>
      </c>
      <c r="K16" s="163" t="s">
        <v>229</v>
      </c>
      <c r="L16" s="162">
        <f>T1*D16</f>
        <v>600000</v>
      </c>
      <c r="M16" s="162">
        <f>T1*D16</f>
        <v>600000</v>
      </c>
      <c r="N16" s="162">
        <f>T1*D16</f>
        <v>600000</v>
      </c>
      <c r="O16" s="162">
        <f>T1*D16</f>
        <v>600000</v>
      </c>
      <c r="P16" s="162">
        <f>T1*D16</f>
        <v>600000</v>
      </c>
      <c r="Q16" s="238" t="s">
        <v>302</v>
      </c>
      <c r="R16" s="239"/>
      <c r="S16" s="239"/>
      <c r="T16" s="239"/>
      <c r="U16" s="239"/>
      <c r="V16" s="240"/>
    </row>
    <row r="17" spans="1:22" ht="28.2" thickBot="1" x14ac:dyDescent="0.3">
      <c r="A17" s="44">
        <f t="shared" ca="1" si="2"/>
        <v>12</v>
      </c>
      <c r="B17" s="45" t="s">
        <v>229</v>
      </c>
      <c r="C17" s="34" t="s">
        <v>87</v>
      </c>
      <c r="D17" s="133">
        <v>1</v>
      </c>
      <c r="E17" s="163" t="s">
        <v>229</v>
      </c>
      <c r="F17" s="163" t="s">
        <v>229</v>
      </c>
      <c r="G17" s="163" t="s">
        <v>229</v>
      </c>
      <c r="H17" s="163" t="s">
        <v>229</v>
      </c>
      <c r="I17" s="163" t="s">
        <v>229</v>
      </c>
      <c r="J17" s="163" t="s">
        <v>229</v>
      </c>
      <c r="K17" s="163" t="s">
        <v>229</v>
      </c>
      <c r="L17" s="132">
        <f>700000*2</f>
        <v>1400000</v>
      </c>
      <c r="M17" s="194">
        <f>700000*2</f>
        <v>1400000</v>
      </c>
      <c r="N17" s="191">
        <f>T1+T3</f>
        <v>1500000</v>
      </c>
      <c r="O17" s="181">
        <f>(T3*1)+(T1*1)</f>
        <v>1500000</v>
      </c>
      <c r="P17" s="181">
        <f>(T3*1)+(T1*1)</f>
        <v>1500000</v>
      </c>
      <c r="Q17" s="238" t="s">
        <v>301</v>
      </c>
      <c r="R17" s="239"/>
      <c r="S17" s="239"/>
      <c r="T17" s="239"/>
      <c r="U17" s="239"/>
      <c r="V17" s="240"/>
    </row>
    <row r="18" spans="1:22" ht="27.6" thickBot="1" x14ac:dyDescent="0.3">
      <c r="A18" s="44">
        <f t="shared" ca="1" si="2"/>
        <v>13</v>
      </c>
      <c r="B18" s="44" t="s">
        <v>229</v>
      </c>
      <c r="C18" s="34" t="s">
        <v>304</v>
      </c>
      <c r="D18" s="133">
        <v>2</v>
      </c>
      <c r="E18" s="163" t="s">
        <v>229</v>
      </c>
      <c r="F18" s="163" t="s">
        <v>229</v>
      </c>
      <c r="G18" s="163" t="s">
        <v>229</v>
      </c>
      <c r="H18" s="163" t="s">
        <v>229</v>
      </c>
      <c r="I18" s="163" t="s">
        <v>229</v>
      </c>
      <c r="J18" s="163" t="s">
        <v>229</v>
      </c>
      <c r="K18" s="163" t="s">
        <v>229</v>
      </c>
      <c r="L18" s="163" t="s">
        <v>229</v>
      </c>
      <c r="M18" s="163" t="s">
        <v>229</v>
      </c>
      <c r="N18" s="163" t="s">
        <v>229</v>
      </c>
      <c r="O18" s="181">
        <f>((T1*2)+(T3*2))/2</f>
        <v>1500000</v>
      </c>
      <c r="P18" s="181">
        <f>((T1*2)+(T3*2))</f>
        <v>3000000</v>
      </c>
      <c r="Q18" s="238" t="s">
        <v>301</v>
      </c>
      <c r="R18" s="239"/>
      <c r="S18" s="239"/>
      <c r="T18" s="239"/>
      <c r="U18" s="239"/>
      <c r="V18" s="240"/>
    </row>
    <row r="19" spans="1:22" ht="27" x14ac:dyDescent="0.25">
      <c r="A19" s="44">
        <f t="shared" ca="1" si="2"/>
        <v>14</v>
      </c>
      <c r="B19" s="44"/>
      <c r="C19" s="33"/>
      <c r="D19" s="134"/>
      <c r="E19" s="135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1:22" ht="13.8" thickBot="1" x14ac:dyDescent="0.3"/>
    <row r="21" spans="1:22" x14ac:dyDescent="0.25">
      <c r="B21" s="232" t="s">
        <v>347</v>
      </c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4"/>
    </row>
    <row r="22" spans="1:22" ht="13.8" thickBot="1" x14ac:dyDescent="0.3">
      <c r="B22" s="235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7"/>
    </row>
  </sheetData>
  <mergeCells count="12">
    <mergeCell ref="B21:V22"/>
    <mergeCell ref="Q18:V18"/>
    <mergeCell ref="A1:P2"/>
    <mergeCell ref="A3:P4"/>
    <mergeCell ref="Q17:V17"/>
    <mergeCell ref="Q14:V14"/>
    <mergeCell ref="Q6:V6"/>
    <mergeCell ref="Q16:V16"/>
    <mergeCell ref="Q1:S2"/>
    <mergeCell ref="Q3:S4"/>
    <mergeCell ref="T1:V2"/>
    <mergeCell ref="T3:V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CEE9-BB3F-4428-8235-7B7E5BF88EC6}">
  <sheetPr codeName="Sheet5">
    <pageSetUpPr fitToPage="1"/>
  </sheetPr>
  <dimension ref="A1:K32"/>
  <sheetViews>
    <sheetView rightToLeft="1" topLeftCell="A17" workbookViewId="0">
      <selection activeCell="J27" sqref="J27:K27"/>
    </sheetView>
  </sheetViews>
  <sheetFormatPr defaultRowHeight="13.2" x14ac:dyDescent="0.25"/>
  <cols>
    <col min="1" max="1" width="6.88671875" bestFit="1" customWidth="1"/>
    <col min="2" max="2" width="14.21875" bestFit="1" customWidth="1"/>
    <col min="3" max="4" width="4.33203125" bestFit="1" customWidth="1"/>
    <col min="5" max="5" width="7.44140625" bestFit="1" customWidth="1"/>
    <col min="8" max="8" width="35" bestFit="1" customWidth="1"/>
    <col min="9" max="9" width="21.5546875" bestFit="1" customWidth="1"/>
    <col min="10" max="10" width="15.44140625" bestFit="1" customWidth="1"/>
    <col min="11" max="11" width="17.5546875" customWidth="1"/>
  </cols>
  <sheetData>
    <row r="1" spans="1:11" ht="21.6" x14ac:dyDescent="0.25">
      <c r="A1" s="250" t="s">
        <v>277</v>
      </c>
      <c r="B1" s="251"/>
      <c r="C1" s="251"/>
      <c r="D1" s="252"/>
      <c r="E1" s="259" t="e" vm="1">
        <v>#VALUE!</v>
      </c>
      <c r="F1" s="259"/>
      <c r="G1" s="260"/>
      <c r="H1" s="136" t="s">
        <v>231</v>
      </c>
      <c r="I1" s="137" t="s">
        <v>249</v>
      </c>
      <c r="J1" s="138" t="s">
        <v>232</v>
      </c>
      <c r="K1" s="139" t="s">
        <v>233</v>
      </c>
    </row>
    <row r="2" spans="1:11" ht="21.6" x14ac:dyDescent="0.25">
      <c r="A2" s="253"/>
      <c r="B2" s="254"/>
      <c r="C2" s="254"/>
      <c r="D2" s="255"/>
      <c r="E2" s="261"/>
      <c r="F2" s="261"/>
      <c r="G2" s="262"/>
      <c r="H2" s="140" t="s">
        <v>234</v>
      </c>
      <c r="I2" s="141">
        <v>0</v>
      </c>
      <c r="J2" s="142" t="s">
        <v>235</v>
      </c>
      <c r="K2" s="143" t="s">
        <v>177</v>
      </c>
    </row>
    <row r="3" spans="1:11" ht="21.6" x14ac:dyDescent="0.25">
      <c r="A3" s="253"/>
      <c r="B3" s="254"/>
      <c r="C3" s="254"/>
      <c r="D3" s="255"/>
      <c r="E3" s="261"/>
      <c r="F3" s="261"/>
      <c r="G3" s="262"/>
      <c r="H3" s="140" t="s">
        <v>236</v>
      </c>
      <c r="I3" s="141">
        <v>0</v>
      </c>
      <c r="J3" s="142" t="s">
        <v>237</v>
      </c>
      <c r="K3" s="143" t="s">
        <v>177</v>
      </c>
    </row>
    <row r="4" spans="1:11" ht="22.2" thickBot="1" x14ac:dyDescent="0.3">
      <c r="A4" s="256"/>
      <c r="B4" s="257"/>
      <c r="C4" s="257"/>
      <c r="D4" s="258"/>
      <c r="E4" s="263"/>
      <c r="F4" s="263"/>
      <c r="G4" s="264"/>
      <c r="H4" s="144" t="s">
        <v>238</v>
      </c>
      <c r="I4" s="145">
        <f>I2+I3</f>
        <v>0</v>
      </c>
      <c r="J4" s="146" t="s">
        <v>239</v>
      </c>
      <c r="K4" s="147" t="s">
        <v>250</v>
      </c>
    </row>
    <row r="5" spans="1:11" ht="21.6" x14ac:dyDescent="0.25">
      <c r="A5" s="148" t="s">
        <v>149</v>
      </c>
      <c r="B5" s="149" t="s">
        <v>240</v>
      </c>
      <c r="C5" s="265" t="s">
        <v>241</v>
      </c>
      <c r="D5" s="265"/>
      <c r="E5" s="265"/>
      <c r="F5" s="265" t="s">
        <v>242</v>
      </c>
      <c r="G5" s="265"/>
      <c r="H5" s="265"/>
      <c r="I5" s="149" t="s">
        <v>271</v>
      </c>
      <c r="J5" s="265" t="s">
        <v>8</v>
      </c>
      <c r="K5" s="266"/>
    </row>
    <row r="6" spans="1:11" ht="21.6" x14ac:dyDescent="0.25">
      <c r="A6" s="150">
        <v>1</v>
      </c>
      <c r="B6" s="151" t="s">
        <v>229</v>
      </c>
      <c r="C6" s="152" t="s">
        <v>253</v>
      </c>
      <c r="D6" s="152" t="s">
        <v>251</v>
      </c>
      <c r="E6" s="152" t="s">
        <v>252</v>
      </c>
      <c r="F6" s="247" t="s">
        <v>254</v>
      </c>
      <c r="G6" s="247"/>
      <c r="H6" s="247"/>
      <c r="I6" s="158">
        <v>7000000</v>
      </c>
      <c r="J6" s="248" t="s">
        <v>255</v>
      </c>
      <c r="K6" s="249"/>
    </row>
    <row r="7" spans="1:11" ht="21.6" x14ac:dyDescent="0.25">
      <c r="A7" s="150">
        <v>2</v>
      </c>
      <c r="B7" s="151" t="s">
        <v>229</v>
      </c>
      <c r="C7" s="152" t="s">
        <v>253</v>
      </c>
      <c r="D7" s="152" t="s">
        <v>251</v>
      </c>
      <c r="E7" s="152" t="s">
        <v>252</v>
      </c>
      <c r="F7" s="247" t="s">
        <v>266</v>
      </c>
      <c r="G7" s="247"/>
      <c r="H7" s="247"/>
      <c r="I7" s="158">
        <v>7000000</v>
      </c>
      <c r="J7" s="248" t="s">
        <v>255</v>
      </c>
      <c r="K7" s="249"/>
    </row>
    <row r="8" spans="1:11" ht="21.6" x14ac:dyDescent="0.25">
      <c r="A8" s="150">
        <v>3</v>
      </c>
      <c r="B8" s="151" t="s">
        <v>229</v>
      </c>
      <c r="C8" s="152" t="s">
        <v>256</v>
      </c>
      <c r="D8" s="152" t="s">
        <v>257</v>
      </c>
      <c r="E8" s="152" t="s">
        <v>252</v>
      </c>
      <c r="F8" s="247" t="s">
        <v>259</v>
      </c>
      <c r="G8" s="247"/>
      <c r="H8" s="247"/>
      <c r="I8" s="158">
        <v>35000000</v>
      </c>
      <c r="J8" s="248" t="s">
        <v>260</v>
      </c>
      <c r="K8" s="249"/>
    </row>
    <row r="9" spans="1:11" ht="21.6" x14ac:dyDescent="0.25">
      <c r="A9" s="150">
        <v>4</v>
      </c>
      <c r="B9" s="151" t="s">
        <v>229</v>
      </c>
      <c r="C9" s="152" t="s">
        <v>256</v>
      </c>
      <c r="D9" s="152" t="s">
        <v>257</v>
      </c>
      <c r="E9" s="152" t="s">
        <v>252</v>
      </c>
      <c r="F9" s="247" t="s">
        <v>258</v>
      </c>
      <c r="G9" s="247"/>
      <c r="H9" s="247"/>
      <c r="I9" s="158">
        <v>7000000</v>
      </c>
      <c r="J9" s="248" t="s">
        <v>255</v>
      </c>
      <c r="K9" s="249"/>
    </row>
    <row r="10" spans="1:11" ht="21.6" x14ac:dyDescent="0.25">
      <c r="A10" s="150">
        <v>5</v>
      </c>
      <c r="B10" s="151" t="s">
        <v>229</v>
      </c>
      <c r="C10" s="152" t="s">
        <v>263</v>
      </c>
      <c r="D10" s="152" t="s">
        <v>257</v>
      </c>
      <c r="E10" s="152" t="s">
        <v>252</v>
      </c>
      <c r="F10" s="247" t="s">
        <v>258</v>
      </c>
      <c r="G10" s="247"/>
      <c r="H10" s="247"/>
      <c r="I10" s="158">
        <v>7000000</v>
      </c>
      <c r="J10" s="248" t="s">
        <v>264</v>
      </c>
      <c r="K10" s="249"/>
    </row>
    <row r="11" spans="1:11" ht="21.6" x14ac:dyDescent="0.25">
      <c r="A11" s="150">
        <v>6</v>
      </c>
      <c r="B11" s="151" t="s">
        <v>229</v>
      </c>
      <c r="C11" s="152" t="s">
        <v>265</v>
      </c>
      <c r="D11" s="152" t="s">
        <v>257</v>
      </c>
      <c r="E11" s="152" t="s">
        <v>252</v>
      </c>
      <c r="F11" s="247" t="s">
        <v>267</v>
      </c>
      <c r="G11" s="247"/>
      <c r="H11" s="247"/>
      <c r="I11" s="158">
        <v>21000000</v>
      </c>
      <c r="J11" s="248" t="s">
        <v>260</v>
      </c>
      <c r="K11" s="249"/>
    </row>
    <row r="12" spans="1:11" ht="21.6" x14ac:dyDescent="0.25">
      <c r="A12" s="150">
        <v>7</v>
      </c>
      <c r="B12" s="151" t="s">
        <v>229</v>
      </c>
      <c r="C12" s="152" t="s">
        <v>268</v>
      </c>
      <c r="D12" s="152" t="s">
        <v>257</v>
      </c>
      <c r="E12" s="152" t="s">
        <v>252</v>
      </c>
      <c r="F12" s="247" t="s">
        <v>269</v>
      </c>
      <c r="G12" s="247"/>
      <c r="H12" s="247"/>
      <c r="I12" s="158">
        <v>14000000</v>
      </c>
      <c r="J12" s="248" t="s">
        <v>260</v>
      </c>
      <c r="K12" s="249"/>
    </row>
    <row r="13" spans="1:11" ht="21.6" x14ac:dyDescent="0.25">
      <c r="A13" s="150">
        <v>8</v>
      </c>
      <c r="B13" s="151" t="s">
        <v>229</v>
      </c>
      <c r="C13" s="152" t="s">
        <v>261</v>
      </c>
      <c r="D13" s="152" t="s">
        <v>257</v>
      </c>
      <c r="E13" s="152" t="s">
        <v>252</v>
      </c>
      <c r="F13" s="247" t="s">
        <v>270</v>
      </c>
      <c r="G13" s="247"/>
      <c r="H13" s="247"/>
      <c r="I13" s="158">
        <v>14000000</v>
      </c>
      <c r="J13" s="248" t="s">
        <v>260</v>
      </c>
      <c r="K13" s="249"/>
    </row>
    <row r="14" spans="1:11" ht="21.6" x14ac:dyDescent="0.25">
      <c r="A14" s="150">
        <v>9</v>
      </c>
      <c r="B14" s="151" t="s">
        <v>229</v>
      </c>
      <c r="C14" s="152" t="s">
        <v>262</v>
      </c>
      <c r="D14" s="152" t="s">
        <v>257</v>
      </c>
      <c r="E14" s="152" t="s">
        <v>252</v>
      </c>
      <c r="F14" s="247" t="s">
        <v>272</v>
      </c>
      <c r="G14" s="247"/>
      <c r="H14" s="247"/>
      <c r="I14" s="158">
        <v>10000000</v>
      </c>
      <c r="J14" s="248" t="s">
        <v>273</v>
      </c>
      <c r="K14" s="249"/>
    </row>
    <row r="15" spans="1:11" ht="21.6" x14ac:dyDescent="0.25">
      <c r="A15" s="150">
        <v>10</v>
      </c>
      <c r="B15" s="151" t="s">
        <v>229</v>
      </c>
      <c r="C15" s="152" t="s">
        <v>274</v>
      </c>
      <c r="D15" s="152" t="s">
        <v>257</v>
      </c>
      <c r="E15" s="152" t="s">
        <v>252</v>
      </c>
      <c r="F15" s="247" t="s">
        <v>275</v>
      </c>
      <c r="G15" s="247"/>
      <c r="H15" s="247"/>
      <c r="I15" s="157">
        <v>-30000000</v>
      </c>
      <c r="J15" s="248" t="s">
        <v>276</v>
      </c>
      <c r="K15" s="249"/>
    </row>
    <row r="16" spans="1:11" ht="21.6" x14ac:dyDescent="0.25">
      <c r="A16" s="150">
        <v>11</v>
      </c>
      <c r="B16" s="151" t="s">
        <v>229</v>
      </c>
      <c r="C16" s="152" t="s">
        <v>290</v>
      </c>
      <c r="D16" s="152" t="s">
        <v>257</v>
      </c>
      <c r="E16" s="152" t="s">
        <v>252</v>
      </c>
      <c r="F16" s="247" t="s">
        <v>291</v>
      </c>
      <c r="G16" s="247"/>
      <c r="H16" s="247"/>
      <c r="I16" s="157">
        <v>-2500000</v>
      </c>
      <c r="J16" s="248" t="s">
        <v>292</v>
      </c>
      <c r="K16" s="249"/>
    </row>
    <row r="17" spans="1:11" ht="21.6" x14ac:dyDescent="0.25">
      <c r="A17" s="150">
        <v>12</v>
      </c>
      <c r="B17" s="151" t="s">
        <v>229</v>
      </c>
      <c r="C17" s="152" t="s">
        <v>293</v>
      </c>
      <c r="D17" s="152" t="s">
        <v>257</v>
      </c>
      <c r="E17" s="152" t="s">
        <v>252</v>
      </c>
      <c r="F17" s="247" t="s">
        <v>294</v>
      </c>
      <c r="G17" s="247"/>
      <c r="H17" s="247"/>
      <c r="I17" s="157">
        <v>-3400000</v>
      </c>
      <c r="J17" s="248" t="s">
        <v>229</v>
      </c>
      <c r="K17" s="249"/>
    </row>
    <row r="18" spans="1:11" ht="21.6" x14ac:dyDescent="0.25">
      <c r="A18" s="150">
        <v>13</v>
      </c>
      <c r="B18" s="151" t="s">
        <v>229</v>
      </c>
      <c r="C18" s="152" t="s">
        <v>293</v>
      </c>
      <c r="D18" s="152" t="s">
        <v>257</v>
      </c>
      <c r="E18" s="152" t="s">
        <v>252</v>
      </c>
      <c r="F18" s="247" t="s">
        <v>295</v>
      </c>
      <c r="G18" s="247"/>
      <c r="H18" s="247"/>
      <c r="I18" s="157">
        <v>-7500000</v>
      </c>
      <c r="J18" s="248" t="s">
        <v>296</v>
      </c>
      <c r="K18" s="249"/>
    </row>
    <row r="19" spans="1:11" ht="21.6" x14ac:dyDescent="0.25">
      <c r="A19" s="150">
        <v>14</v>
      </c>
      <c r="B19" s="151" t="s">
        <v>229</v>
      </c>
      <c r="C19" s="152" t="s">
        <v>293</v>
      </c>
      <c r="D19" s="152" t="s">
        <v>257</v>
      </c>
      <c r="E19" s="152" t="s">
        <v>252</v>
      </c>
      <c r="F19" s="247" t="s">
        <v>297</v>
      </c>
      <c r="G19" s="247"/>
      <c r="H19" s="247"/>
      <c r="I19" s="157">
        <v>-1850000</v>
      </c>
      <c r="J19" s="248" t="s">
        <v>298</v>
      </c>
      <c r="K19" s="249"/>
    </row>
    <row r="20" spans="1:11" ht="21.6" x14ac:dyDescent="0.25">
      <c r="A20" s="150">
        <v>15</v>
      </c>
      <c r="B20" s="151" t="s">
        <v>229</v>
      </c>
      <c r="C20" s="152" t="s">
        <v>293</v>
      </c>
      <c r="D20" s="152" t="s">
        <v>257</v>
      </c>
      <c r="E20" s="152" t="s">
        <v>252</v>
      </c>
      <c r="F20" s="247" t="s">
        <v>299</v>
      </c>
      <c r="G20" s="247"/>
      <c r="H20" s="247"/>
      <c r="I20" s="157">
        <v>-4030000</v>
      </c>
      <c r="J20" s="248" t="s">
        <v>300</v>
      </c>
      <c r="K20" s="249"/>
    </row>
    <row r="21" spans="1:11" ht="21.6" x14ac:dyDescent="0.25">
      <c r="A21" s="150">
        <v>16</v>
      </c>
      <c r="B21" s="151" t="s">
        <v>229</v>
      </c>
      <c r="C21" s="152" t="s">
        <v>328</v>
      </c>
      <c r="D21" s="152" t="s">
        <v>261</v>
      </c>
      <c r="E21" s="152" t="s">
        <v>252</v>
      </c>
      <c r="F21" s="247" t="s">
        <v>332</v>
      </c>
      <c r="G21" s="247"/>
      <c r="H21" s="247"/>
      <c r="I21" s="182">
        <v>7000000</v>
      </c>
      <c r="J21" s="248" t="s">
        <v>226</v>
      </c>
      <c r="K21" s="249"/>
    </row>
    <row r="22" spans="1:11" ht="21.6" x14ac:dyDescent="0.25">
      <c r="A22" s="150">
        <v>17</v>
      </c>
      <c r="B22" s="151" t="s">
        <v>229</v>
      </c>
      <c r="C22" s="152" t="s">
        <v>331</v>
      </c>
      <c r="D22" s="152" t="s">
        <v>261</v>
      </c>
      <c r="E22" s="152" t="s">
        <v>252</v>
      </c>
      <c r="F22" s="247" t="s">
        <v>329</v>
      </c>
      <c r="G22" s="247"/>
      <c r="H22" s="247"/>
      <c r="I22" s="182">
        <v>21000000</v>
      </c>
      <c r="J22" s="248" t="s">
        <v>330</v>
      </c>
      <c r="K22" s="249"/>
    </row>
    <row r="23" spans="1:11" ht="21.6" x14ac:dyDescent="0.25">
      <c r="A23" s="150">
        <v>18</v>
      </c>
      <c r="B23" s="151" t="s">
        <v>229</v>
      </c>
      <c r="C23" s="152" t="s">
        <v>274</v>
      </c>
      <c r="D23" s="152" t="s">
        <v>261</v>
      </c>
      <c r="E23" s="152" t="s">
        <v>252</v>
      </c>
      <c r="F23" s="267" t="s">
        <v>336</v>
      </c>
      <c r="G23" s="267"/>
      <c r="H23" s="267"/>
      <c r="I23" s="182">
        <v>16000000</v>
      </c>
      <c r="J23" s="248" t="s">
        <v>337</v>
      </c>
      <c r="K23" s="249"/>
    </row>
    <row r="24" spans="1:11" ht="21.6" x14ac:dyDescent="0.25">
      <c r="A24" s="150">
        <v>19</v>
      </c>
      <c r="B24" s="151" t="s">
        <v>229</v>
      </c>
      <c r="C24" s="152" t="s">
        <v>338</v>
      </c>
      <c r="D24" s="152" t="s">
        <v>261</v>
      </c>
      <c r="E24" s="152" t="s">
        <v>252</v>
      </c>
      <c r="F24" s="247" t="s">
        <v>339</v>
      </c>
      <c r="G24" s="247"/>
      <c r="H24" s="247"/>
      <c r="I24" s="182">
        <v>239001</v>
      </c>
      <c r="J24" s="248" t="s">
        <v>340</v>
      </c>
      <c r="K24" s="249"/>
    </row>
    <row r="25" spans="1:11" ht="22.2" thickBot="1" x14ac:dyDescent="0.3">
      <c r="A25" s="186">
        <v>20</v>
      </c>
      <c r="B25" s="151" t="s">
        <v>229</v>
      </c>
      <c r="C25" s="154" t="s">
        <v>338</v>
      </c>
      <c r="D25" s="187" t="s">
        <v>261</v>
      </c>
      <c r="E25" s="187" t="s">
        <v>252</v>
      </c>
      <c r="F25" s="268" t="s">
        <v>341</v>
      </c>
      <c r="G25" s="269"/>
      <c r="H25" s="270"/>
      <c r="I25" s="188">
        <v>18000000</v>
      </c>
      <c r="J25" s="271" t="s">
        <v>337</v>
      </c>
      <c r="K25" s="272"/>
    </row>
    <row r="26" spans="1:11" ht="22.2" thickBot="1" x14ac:dyDescent="0.3">
      <c r="A26" s="153">
        <v>21</v>
      </c>
      <c r="B26" s="151" t="s">
        <v>229</v>
      </c>
      <c r="C26" s="154" t="s">
        <v>342</v>
      </c>
      <c r="D26" s="154" t="s">
        <v>261</v>
      </c>
      <c r="E26" s="154" t="s">
        <v>252</v>
      </c>
      <c r="F26" s="247" t="s">
        <v>254</v>
      </c>
      <c r="G26" s="247"/>
      <c r="H26" s="247"/>
      <c r="I26" s="185">
        <v>6000000</v>
      </c>
      <c r="J26" s="273" t="s">
        <v>337</v>
      </c>
      <c r="K26" s="274"/>
    </row>
    <row r="27" spans="1:11" ht="22.2" thickBot="1" x14ac:dyDescent="0.3">
      <c r="A27" s="153">
        <v>21</v>
      </c>
      <c r="B27" s="151" t="s">
        <v>229</v>
      </c>
      <c r="C27" s="154" t="s">
        <v>343</v>
      </c>
      <c r="D27" s="154" t="s">
        <v>261</v>
      </c>
      <c r="E27" s="154" t="s">
        <v>252</v>
      </c>
      <c r="F27" s="247" t="s">
        <v>344</v>
      </c>
      <c r="G27" s="247"/>
      <c r="H27" s="247"/>
      <c r="I27" s="185">
        <v>7000000</v>
      </c>
      <c r="J27" s="273" t="s">
        <v>337</v>
      </c>
      <c r="K27" s="274"/>
    </row>
    <row r="28" spans="1:11" ht="21.6" x14ac:dyDescent="0.25">
      <c r="A28" s="281" t="s">
        <v>243</v>
      </c>
      <c r="B28" s="282"/>
      <c r="C28" s="282"/>
      <c r="D28" s="282"/>
      <c r="E28" s="282"/>
      <c r="F28" s="282"/>
      <c r="G28" s="282"/>
      <c r="H28" s="283"/>
      <c r="I28" s="155">
        <f>SUM(I6:I27)</f>
        <v>147959001</v>
      </c>
      <c r="J28" s="284"/>
      <c r="K28" s="285"/>
    </row>
    <row r="29" spans="1:11" ht="21.6" x14ac:dyDescent="0.25">
      <c r="A29" s="286" t="s">
        <v>244</v>
      </c>
      <c r="B29" s="287"/>
      <c r="C29" s="287"/>
      <c r="D29" s="287"/>
      <c r="E29" s="287"/>
      <c r="F29" s="287"/>
      <c r="G29" s="287"/>
      <c r="H29" s="288"/>
      <c r="I29" s="156">
        <f>I4-I28</f>
        <v>-147959001</v>
      </c>
      <c r="J29" s="248"/>
      <c r="K29" s="249"/>
    </row>
    <row r="30" spans="1:11" x14ac:dyDescent="0.25">
      <c r="A30" s="275" t="s">
        <v>245</v>
      </c>
      <c r="B30" s="276"/>
      <c r="C30" s="276"/>
      <c r="D30" s="276"/>
      <c r="E30" s="276"/>
      <c r="F30" s="276" t="s">
        <v>246</v>
      </c>
      <c r="G30" s="276"/>
      <c r="H30" s="276"/>
      <c r="I30" s="276" t="s">
        <v>247</v>
      </c>
      <c r="J30" s="276" t="s">
        <v>248</v>
      </c>
      <c r="K30" s="279"/>
    </row>
    <row r="31" spans="1:11" x14ac:dyDescent="0.25">
      <c r="A31" s="275"/>
      <c r="B31" s="276"/>
      <c r="C31" s="276"/>
      <c r="D31" s="276"/>
      <c r="E31" s="276"/>
      <c r="F31" s="276"/>
      <c r="G31" s="276"/>
      <c r="H31" s="276"/>
      <c r="I31" s="276"/>
      <c r="J31" s="276"/>
      <c r="K31" s="279"/>
    </row>
    <row r="32" spans="1:11" ht="13.8" thickBot="1" x14ac:dyDescent="0.3">
      <c r="A32" s="277"/>
      <c r="B32" s="278"/>
      <c r="C32" s="278"/>
      <c r="D32" s="278"/>
      <c r="E32" s="278"/>
      <c r="F32" s="278"/>
      <c r="G32" s="278"/>
      <c r="H32" s="278"/>
      <c r="I32" s="278"/>
      <c r="J32" s="278"/>
      <c r="K32" s="280"/>
    </row>
  </sheetData>
  <mergeCells count="57">
    <mergeCell ref="F25:H25"/>
    <mergeCell ref="J25:K25"/>
    <mergeCell ref="J26:K26"/>
    <mergeCell ref="F26:H26"/>
    <mergeCell ref="A30:E32"/>
    <mergeCell ref="F30:H32"/>
    <mergeCell ref="I30:I32"/>
    <mergeCell ref="J30:K32"/>
    <mergeCell ref="F27:H27"/>
    <mergeCell ref="J27:K27"/>
    <mergeCell ref="A28:H28"/>
    <mergeCell ref="J28:K28"/>
    <mergeCell ref="A29:H29"/>
    <mergeCell ref="J29:K29"/>
    <mergeCell ref="F22:H22"/>
    <mergeCell ref="J22:K22"/>
    <mergeCell ref="F23:H23"/>
    <mergeCell ref="J23:K23"/>
    <mergeCell ref="F24:H24"/>
    <mergeCell ref="J24:K24"/>
    <mergeCell ref="F19:H19"/>
    <mergeCell ref="J19:K19"/>
    <mergeCell ref="F20:H20"/>
    <mergeCell ref="J20:K20"/>
    <mergeCell ref="F21:H21"/>
    <mergeCell ref="J21:K21"/>
    <mergeCell ref="F16:H16"/>
    <mergeCell ref="J16:K16"/>
    <mergeCell ref="F17:H17"/>
    <mergeCell ref="J17:K17"/>
    <mergeCell ref="F18:H18"/>
    <mergeCell ref="J18:K18"/>
    <mergeCell ref="F13:H13"/>
    <mergeCell ref="J13:K13"/>
    <mergeCell ref="F14:H14"/>
    <mergeCell ref="J14:K14"/>
    <mergeCell ref="F15:H15"/>
    <mergeCell ref="J15:K15"/>
    <mergeCell ref="F10:H10"/>
    <mergeCell ref="J10:K10"/>
    <mergeCell ref="F11:H11"/>
    <mergeCell ref="J11:K11"/>
    <mergeCell ref="F12:H12"/>
    <mergeCell ref="J12:K12"/>
    <mergeCell ref="F7:H7"/>
    <mergeCell ref="J7:K7"/>
    <mergeCell ref="F8:H8"/>
    <mergeCell ref="J8:K8"/>
    <mergeCell ref="F9:H9"/>
    <mergeCell ref="J9:K9"/>
    <mergeCell ref="F6:H6"/>
    <mergeCell ref="J6:K6"/>
    <mergeCell ref="A1:D4"/>
    <mergeCell ref="E1:G4"/>
    <mergeCell ref="C5:E5"/>
    <mergeCell ref="F5:H5"/>
    <mergeCell ref="J5:K5"/>
  </mergeCells>
  <phoneticPr fontId="25" type="noConversion"/>
  <pageMargins left="0.25" right="0.25" top="0.75" bottom="0.75" header="0.3" footer="0.3"/>
  <pageSetup paperSize="9" scale="70" fitToHeight="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68E7-28E9-462A-90C6-CBD93D0305F4}">
  <sheetPr codeName="Sheet6"/>
  <dimension ref="A1:F21"/>
  <sheetViews>
    <sheetView rightToLeft="1" topLeftCell="A15" workbookViewId="0">
      <selection activeCell="D7" sqref="D7"/>
    </sheetView>
  </sheetViews>
  <sheetFormatPr defaultRowHeight="13.2" x14ac:dyDescent="0.25"/>
  <cols>
    <col min="1" max="1" width="8.109375" bestFit="1" customWidth="1"/>
    <col min="2" max="2" width="14.5546875" bestFit="1" customWidth="1"/>
    <col min="3" max="3" width="63" bestFit="1" customWidth="1"/>
    <col min="4" max="4" width="28.44140625" bestFit="1" customWidth="1"/>
    <col min="5" max="5" width="12.5546875" bestFit="1" customWidth="1"/>
    <col min="6" max="6" width="14.6640625" bestFit="1" customWidth="1"/>
  </cols>
  <sheetData>
    <row r="1" spans="1:6" x14ac:dyDescent="0.25">
      <c r="A1" s="227" t="s">
        <v>148</v>
      </c>
      <c r="B1" s="210"/>
      <c r="C1" s="210"/>
      <c r="D1" s="210"/>
      <c r="E1" s="210"/>
      <c r="F1" s="210"/>
    </row>
    <row r="2" spans="1:6" x14ac:dyDescent="0.25">
      <c r="A2" s="227"/>
      <c r="B2" s="210"/>
      <c r="C2" s="210"/>
      <c r="D2" s="210"/>
      <c r="E2" s="210"/>
      <c r="F2" s="210"/>
    </row>
    <row r="3" spans="1:6" x14ac:dyDescent="0.25">
      <c r="A3" s="228" t="s">
        <v>305</v>
      </c>
      <c r="B3" s="229"/>
      <c r="C3" s="229"/>
      <c r="D3" s="229"/>
      <c r="E3" s="229"/>
      <c r="F3" s="229"/>
    </row>
    <row r="4" spans="1:6" x14ac:dyDescent="0.25">
      <c r="A4" s="230"/>
      <c r="B4" s="231"/>
      <c r="C4" s="231"/>
      <c r="D4" s="231"/>
      <c r="E4" s="231"/>
      <c r="F4" s="231"/>
    </row>
    <row r="5" spans="1:6" ht="25.8" thickBot="1" x14ac:dyDescent="0.3">
      <c r="A5" s="114" t="s">
        <v>306</v>
      </c>
      <c r="B5" s="114" t="s">
        <v>173</v>
      </c>
      <c r="C5" s="115" t="s">
        <v>307</v>
      </c>
      <c r="D5" s="115" t="s">
        <v>309</v>
      </c>
      <c r="E5" s="115" t="s">
        <v>310</v>
      </c>
      <c r="F5" s="115" t="s">
        <v>326</v>
      </c>
    </row>
    <row r="6" spans="1:6" ht="30" thickBot="1" x14ac:dyDescent="0.3">
      <c r="A6" s="168">
        <v>1</v>
      </c>
      <c r="B6" s="169" t="s">
        <v>182</v>
      </c>
      <c r="C6" s="170" t="s">
        <v>308</v>
      </c>
      <c r="D6" s="171">
        <v>11000000</v>
      </c>
      <c r="E6" s="172" t="s">
        <v>311</v>
      </c>
      <c r="F6" s="173" t="s">
        <v>327</v>
      </c>
    </row>
    <row r="7" spans="1:6" ht="30" thickBot="1" x14ac:dyDescent="0.3">
      <c r="A7" s="168">
        <f t="shared" ref="A7:A11" ca="1" si="0">OFFSET(A7,-1,0,1,1)+1</f>
        <v>2</v>
      </c>
      <c r="B7" s="169" t="s">
        <v>182</v>
      </c>
      <c r="C7" s="170" t="s">
        <v>312</v>
      </c>
      <c r="D7" s="171">
        <v>20000000</v>
      </c>
      <c r="E7" s="172" t="s">
        <v>311</v>
      </c>
      <c r="F7" s="173" t="s">
        <v>229</v>
      </c>
    </row>
    <row r="8" spans="1:6" ht="30" thickBot="1" x14ac:dyDescent="0.3">
      <c r="A8" s="168">
        <f t="shared" ca="1" si="0"/>
        <v>3</v>
      </c>
      <c r="B8" s="169" t="s">
        <v>182</v>
      </c>
      <c r="C8" s="170" t="s">
        <v>313</v>
      </c>
      <c r="D8" s="171">
        <v>20000000</v>
      </c>
      <c r="E8" s="172" t="s">
        <v>311</v>
      </c>
      <c r="F8" s="173" t="s">
        <v>229</v>
      </c>
    </row>
    <row r="9" spans="1:6" ht="30" thickBot="1" x14ac:dyDescent="0.3">
      <c r="A9" s="174">
        <f t="shared" ca="1" si="0"/>
        <v>4</v>
      </c>
      <c r="B9" s="175" t="s">
        <v>182</v>
      </c>
      <c r="C9" s="176" t="s">
        <v>314</v>
      </c>
      <c r="D9" s="177">
        <v>20000000</v>
      </c>
      <c r="E9" s="178" t="s">
        <v>311</v>
      </c>
      <c r="F9" s="179" t="s">
        <v>229</v>
      </c>
    </row>
    <row r="10" spans="1:6" ht="30" thickBot="1" x14ac:dyDescent="0.3">
      <c r="A10" s="168">
        <f t="shared" ca="1" si="0"/>
        <v>5</v>
      </c>
      <c r="B10" s="169" t="s">
        <v>182</v>
      </c>
      <c r="C10" s="170" t="s">
        <v>315</v>
      </c>
      <c r="D10" s="171">
        <v>10000000</v>
      </c>
      <c r="E10" s="172" t="s">
        <v>311</v>
      </c>
      <c r="F10" s="173" t="s">
        <v>229</v>
      </c>
    </row>
    <row r="11" spans="1:6" ht="30" thickBot="1" x14ac:dyDescent="0.3">
      <c r="A11" s="168">
        <f t="shared" ca="1" si="0"/>
        <v>6</v>
      </c>
      <c r="B11" s="169" t="s">
        <v>182</v>
      </c>
      <c r="C11" s="180" t="s">
        <v>316</v>
      </c>
      <c r="D11" s="171">
        <v>20000000</v>
      </c>
      <c r="E11" s="172" t="s">
        <v>311</v>
      </c>
      <c r="F11" s="173" t="s">
        <v>229</v>
      </c>
    </row>
    <row r="12" spans="1:6" ht="30" thickBot="1" x14ac:dyDescent="0.3">
      <c r="A12" s="168">
        <v>7</v>
      </c>
      <c r="B12" s="169" t="s">
        <v>182</v>
      </c>
      <c r="C12" s="170" t="s">
        <v>317</v>
      </c>
      <c r="D12" s="171">
        <v>20000000</v>
      </c>
      <c r="E12" s="172" t="s">
        <v>311</v>
      </c>
      <c r="F12" s="173" t="s">
        <v>229</v>
      </c>
    </row>
    <row r="13" spans="1:6" ht="30" thickBot="1" x14ac:dyDescent="0.3">
      <c r="A13" s="168">
        <f t="shared" ref="A13:A21" ca="1" si="1">OFFSET(A13,-1,0,1,1)+1</f>
        <v>8</v>
      </c>
      <c r="B13" s="169" t="s">
        <v>182</v>
      </c>
      <c r="C13" s="170" t="s">
        <v>318</v>
      </c>
      <c r="D13" s="171">
        <v>20000000</v>
      </c>
      <c r="E13" s="172" t="s">
        <v>311</v>
      </c>
      <c r="F13" s="173" t="s">
        <v>229</v>
      </c>
    </row>
    <row r="14" spans="1:6" ht="30" thickBot="1" x14ac:dyDescent="0.3">
      <c r="A14" s="168">
        <f t="shared" ca="1" si="1"/>
        <v>9</v>
      </c>
      <c r="B14" s="169" t="s">
        <v>179</v>
      </c>
      <c r="C14" s="170" t="s">
        <v>319</v>
      </c>
      <c r="D14" s="171">
        <v>20000000</v>
      </c>
      <c r="E14" s="172" t="s">
        <v>311</v>
      </c>
      <c r="F14" s="173" t="s">
        <v>229</v>
      </c>
    </row>
    <row r="15" spans="1:6" ht="30" thickBot="1" x14ac:dyDescent="0.3">
      <c r="A15" s="168">
        <f t="shared" ca="1" si="1"/>
        <v>10</v>
      </c>
      <c r="B15" s="169" t="s">
        <v>182</v>
      </c>
      <c r="C15" s="170" t="s">
        <v>320</v>
      </c>
      <c r="D15" s="171">
        <v>20000000</v>
      </c>
      <c r="E15" s="172" t="s">
        <v>311</v>
      </c>
      <c r="F15" s="173" t="s">
        <v>229</v>
      </c>
    </row>
    <row r="16" spans="1:6" ht="30" thickBot="1" x14ac:dyDescent="0.3">
      <c r="A16" s="168">
        <f t="shared" ca="1" si="1"/>
        <v>11</v>
      </c>
      <c r="B16" s="169" t="s">
        <v>182</v>
      </c>
      <c r="C16" s="170" t="s">
        <v>321</v>
      </c>
      <c r="D16" s="171">
        <v>20000000</v>
      </c>
      <c r="E16" s="172" t="s">
        <v>311</v>
      </c>
      <c r="F16" s="173" t="s">
        <v>229</v>
      </c>
    </row>
    <row r="17" spans="1:6" ht="30" thickBot="1" x14ac:dyDescent="0.3">
      <c r="A17" s="168">
        <f t="shared" ca="1" si="1"/>
        <v>12</v>
      </c>
      <c r="B17" s="169" t="s">
        <v>138</v>
      </c>
      <c r="C17" s="180" t="s">
        <v>322</v>
      </c>
      <c r="D17" s="171">
        <v>20000000</v>
      </c>
      <c r="E17" s="172" t="s">
        <v>311</v>
      </c>
      <c r="F17" s="173" t="s">
        <v>229</v>
      </c>
    </row>
    <row r="18" spans="1:6" ht="30" thickBot="1" x14ac:dyDescent="0.3">
      <c r="A18" s="168">
        <f t="shared" ca="1" si="1"/>
        <v>13</v>
      </c>
      <c r="B18" s="169" t="s">
        <v>138</v>
      </c>
      <c r="C18" s="170" t="s">
        <v>323</v>
      </c>
      <c r="D18" s="171">
        <v>20000000</v>
      </c>
      <c r="E18" s="172" t="s">
        <v>311</v>
      </c>
      <c r="F18" s="173" t="s">
        <v>229</v>
      </c>
    </row>
    <row r="19" spans="1:6" ht="30" thickBot="1" x14ac:dyDescent="0.3">
      <c r="A19" s="168">
        <f t="shared" ca="1" si="1"/>
        <v>14</v>
      </c>
      <c r="B19" s="169" t="s">
        <v>182</v>
      </c>
      <c r="C19" s="170" t="s">
        <v>324</v>
      </c>
      <c r="D19" s="171">
        <v>20000000</v>
      </c>
      <c r="E19" s="172" t="s">
        <v>311</v>
      </c>
      <c r="F19" s="173" t="s">
        <v>229</v>
      </c>
    </row>
    <row r="20" spans="1:6" ht="30" thickBot="1" x14ac:dyDescent="0.3">
      <c r="A20" s="168">
        <f t="shared" ca="1" si="1"/>
        <v>15</v>
      </c>
      <c r="B20" s="169" t="s">
        <v>182</v>
      </c>
      <c r="C20" s="170" t="s">
        <v>325</v>
      </c>
      <c r="D20" s="171">
        <v>20000000</v>
      </c>
      <c r="E20" s="172" t="s">
        <v>311</v>
      </c>
      <c r="F20" s="173" t="s">
        <v>229</v>
      </c>
    </row>
    <row r="21" spans="1:6" ht="30" thickBot="1" x14ac:dyDescent="0.3">
      <c r="A21" s="168">
        <f t="shared" ca="1" si="1"/>
        <v>16</v>
      </c>
      <c r="B21" s="169" t="s">
        <v>182</v>
      </c>
      <c r="C21" s="170" t="s">
        <v>325</v>
      </c>
      <c r="D21" s="171">
        <v>20000000</v>
      </c>
      <c r="E21" s="172" t="s">
        <v>311</v>
      </c>
      <c r="F21" s="173" t="s">
        <v>229</v>
      </c>
    </row>
  </sheetData>
  <mergeCells count="2">
    <mergeCell ref="A1:F2"/>
    <mergeCell ref="A3:F4"/>
  </mergeCells>
  <phoneticPr fontId="3" type="noConversion"/>
  <conditionalFormatting sqref="B6:B21">
    <cfRule type="expression" dxfId="3" priority="3">
      <formula>B6="رزرو"</formula>
    </cfRule>
    <cfRule type="expression" dxfId="2" priority="4">
      <formula>B6="خالی"</formula>
    </cfRule>
    <cfRule type="expression" dxfId="1" priority="5">
      <formula>B6="تخصیص یافته"</formula>
    </cfRule>
    <cfRule type="expression" dxfId="0" priority="6">
      <formula>B6="خراب"</formula>
    </cfRule>
  </conditionalFormatting>
  <dataValidations count="1">
    <dataValidation type="list" allowBlank="1" showInputMessage="1" showErrorMessage="1" sqref="B6:B21" xr:uid="{045DF93F-CA23-4BC7-81C4-8B787C3233F8}">
      <formula1>"خراب,خالی,تخصیص یافته,رزرو"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Members</vt:lpstr>
      <vt:lpstr>Teams</vt:lpstr>
      <vt:lpstr>lockers</vt:lpstr>
      <vt:lpstr>sevice charge</vt:lpstr>
      <vt:lpstr>Finance</vt:lpstr>
      <vt:lpstr>plans</vt:lpstr>
      <vt:lpstr>Members!valuevx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Mehdi</cp:lastModifiedBy>
  <cp:lastPrinted>2026-01-06T15:52:05Z</cp:lastPrinted>
  <dcterms:modified xsi:type="dcterms:W3CDTF">2026-06-10T14:43:50Z</dcterms:modified>
</cp:coreProperties>
</file>