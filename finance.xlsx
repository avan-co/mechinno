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o center\حساب مرکز نوآوری\"/>
    </mc:Choice>
  </mc:AlternateContent>
  <xr:revisionPtr revIDLastSave="0" documentId="13_ncr:1_{689E7677-C26E-44A1-8916-D6D023D08672}" xr6:coauthVersionLast="47" xr6:coauthVersionMax="47" xr10:uidLastSave="{00000000-0000-0000-0000-000000000000}"/>
  <bookViews>
    <workbookView xWindow="-108" yWindow="-108" windowWidth="23256" windowHeight="12456" activeTab="1" xr2:uid="{4B29A4FF-EBF4-4BF3-B2CB-3DDD199CEBDA}"/>
  </bookViews>
  <sheets>
    <sheet name="1404-9-11" sheetId="1" r:id="rId1"/>
    <sheet name="1404-12  - 140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3" l="1"/>
  <c r="I4" i="3"/>
  <c r="I28" i="1"/>
  <c r="I4" i="1"/>
  <c r="I29" i="1" s="1"/>
  <c r="I29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<sst xmlns="http://schemas.openxmlformats.org/spreadsheetml/2006/main" count="275" uniqueCount="80">
  <si>
    <t>مرکز نوآوری دانشکده مهندسی مکانیک</t>
  </si>
  <si>
    <t>نام گیرنده تنخواه :</t>
  </si>
  <si>
    <t>آقای مهدی پورحسین</t>
  </si>
  <si>
    <t>شماره تنخواه :</t>
  </si>
  <si>
    <t>01</t>
  </si>
  <si>
    <t>مبلغ مانده تنخواه از قبل(ریال):</t>
  </si>
  <si>
    <t>تاریخ دریافت  :</t>
  </si>
  <si>
    <t>1404/09/01</t>
  </si>
  <si>
    <t>مبلغ تنخواه واریز شده جدید(ریال):</t>
  </si>
  <si>
    <t>از تاریخ :</t>
  </si>
  <si>
    <t>جمع موجودی تنخواه (ریال):</t>
  </si>
  <si>
    <t>تا تاریخ:</t>
  </si>
  <si>
    <t>ردیف</t>
  </si>
  <si>
    <t>تعداد فاکتور</t>
  </si>
  <si>
    <t>تاریخ</t>
  </si>
  <si>
    <t>شرح</t>
  </si>
  <si>
    <t>مبلغ تراکنش(ریال)</t>
  </si>
  <si>
    <t>توضیحات</t>
  </si>
  <si>
    <t>-</t>
  </si>
  <si>
    <t>29</t>
  </si>
  <si>
    <t>09</t>
  </si>
  <si>
    <t>1404</t>
  </si>
  <si>
    <t>آبونمان اقای فولادگر 1 ماه</t>
  </si>
  <si>
    <t>آبان ماه</t>
  </si>
  <si>
    <t>آبونمان خانم تخمه چی 0.5 ماه</t>
  </si>
  <si>
    <t>02</t>
  </si>
  <si>
    <t>10</t>
  </si>
  <si>
    <t>آبونمان اقای فشارکی 2 ماه</t>
  </si>
  <si>
    <t>آبان و آذر</t>
  </si>
  <si>
    <t>آبونمان اقای طهماسبی 1 ماه</t>
  </si>
  <si>
    <t>05</t>
  </si>
  <si>
    <t>آذر ماه</t>
  </si>
  <si>
    <t>06</t>
  </si>
  <si>
    <t>آبونمان خانم تخمه چی 1.5 ماه</t>
  </si>
  <si>
    <t>08</t>
  </si>
  <si>
    <t>آبونمان خانم عابدی آذر 2 ماه</t>
  </si>
  <si>
    <t>11</t>
  </si>
  <si>
    <t>آبونمان اقای باغکی 2 ماه</t>
  </si>
  <si>
    <t>12</t>
  </si>
  <si>
    <t>سهم مرکز از دوره ی پرینتر سه بعدی (خانم عابدی آذر)</t>
  </si>
  <si>
    <t>دوره ی آموزشی</t>
  </si>
  <si>
    <t>15</t>
  </si>
  <si>
    <t>هزینه ی تعمیر مایکرویو</t>
  </si>
  <si>
    <t>تعمیرات</t>
  </si>
  <si>
    <t>21</t>
  </si>
  <si>
    <t>خرید پیج ها جهت تعمیر صندلی اتاق جلسه</t>
  </si>
  <si>
    <t>تعداد 5 عدد پیچ</t>
  </si>
  <si>
    <t>28</t>
  </si>
  <si>
    <t>خرید کابل HDMI برای اتاق جلسه</t>
  </si>
  <si>
    <t>خرید پلکسی های دور سینک فضای استراحت</t>
  </si>
  <si>
    <t>هزینه های مشترک فضای استراحت</t>
  </si>
  <si>
    <t>پر ینت رنگی A3 و لمینت اطلاعیه ها</t>
  </si>
  <si>
    <t>پرینت اطلاعیه</t>
  </si>
  <si>
    <t>پرینت قرارداد های 6 ماهه دوم سال 1404 تیم ها</t>
  </si>
  <si>
    <t>در 2 عدد فاکتور</t>
  </si>
  <si>
    <t>2</t>
  </si>
  <si>
    <t>آبونمان آقای طهماسبی 1 ماه</t>
  </si>
  <si>
    <t>دی</t>
  </si>
  <si>
    <t>8</t>
  </si>
  <si>
    <t>آبونمان آقای وارث ویزیریان 3 ماه</t>
  </si>
  <si>
    <t>آبان، آذر و دی</t>
  </si>
  <si>
    <t xml:space="preserve">آبونمان خانم تخمه چی </t>
  </si>
  <si>
    <t>دی ماه</t>
  </si>
  <si>
    <t>18</t>
  </si>
  <si>
    <t>واریز سود بانکی</t>
  </si>
  <si>
    <t>سود بانکی حساب مرکز</t>
  </si>
  <si>
    <t>آبونمان آقای فشارکی</t>
  </si>
  <si>
    <t>19</t>
  </si>
  <si>
    <t>20</t>
  </si>
  <si>
    <t xml:space="preserve">آبونمان خانم عابدی آذر </t>
  </si>
  <si>
    <t>جمع پرداخت به ریال</t>
  </si>
  <si>
    <t>مانده تنخواه به ریال</t>
  </si>
  <si>
    <t>تنطیم کننده یا دارنده تنخواه :</t>
  </si>
  <si>
    <t>تایید کننده :</t>
  </si>
  <si>
    <t>کنترل واحد مالی:</t>
  </si>
  <si>
    <t>شماره و تاریخ سند :</t>
  </si>
  <si>
    <t>1404/11/30</t>
  </si>
  <si>
    <t>خرید تعدادی لوازم سرویس چای و نخ نامرئی و ..</t>
  </si>
  <si>
    <t>خرید چای 1 کیلو</t>
  </si>
  <si>
    <t xml:space="preserve">چایی ساز میگل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</si>
</sst>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_);_(* \-#,##0_);_(* &quot;-&quot;??_);_(@_)"/>
  </numFmts>
  <fonts count="6" x14ac:knownFonts="1">
    <font>
      <sz val="10"/>
      <color rgb="FF000000"/>
      <name val="Arial"/>
    </font>
    <font>
      <sz val="10"/>
      <color rgb="FF000000"/>
      <name val="Arial"/>
    </font>
    <font>
      <sz val="18"/>
      <color theme="1"/>
      <name val="B Yekan"/>
      <charset val="178"/>
    </font>
    <font>
      <sz val="14"/>
      <color theme="1"/>
      <name val="B Yekan"/>
      <charset val="178"/>
    </font>
    <font>
      <b/>
      <sz val="14"/>
      <color theme="1"/>
      <name val="B Yekan"/>
      <charset val="178"/>
    </font>
    <font>
      <b/>
      <sz val="12"/>
      <color theme="1"/>
      <name val="B Yekan"/>
      <charset val="178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7" xfId="0" applyFont="1" applyBorder="1" applyAlignment="1">
      <alignment vertical="center"/>
    </xf>
    <xf numFmtId="164" fontId="3" fillId="0" borderId="9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2" borderId="12" xfId="0" applyFont="1" applyFill="1" applyBorder="1" applyAlignment="1">
      <alignment vertical="center"/>
    </xf>
    <xf numFmtId="164" fontId="3" fillId="2" borderId="14" xfId="1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5" fontId="3" fillId="3" borderId="8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4" borderId="8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164" fontId="3" fillId="3" borderId="22" xfId="1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3" borderId="13" xfId="1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28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1817-938D-4F33-AD5E-876A618C0A58}">
  <sheetPr>
    <pageSetUpPr fitToPage="1"/>
  </sheetPr>
  <dimension ref="A1:K32"/>
  <sheetViews>
    <sheetView rightToLeft="1" topLeftCell="A15" workbookViewId="0">
      <selection activeCell="A30" sqref="A30:E32"/>
    </sheetView>
  </sheetViews>
  <sheetFormatPr defaultRowHeight="13.2" x14ac:dyDescent="0.25"/>
  <cols>
    <col min="1" max="1" width="6.88671875" bestFit="1" customWidth="1"/>
    <col min="2" max="2" width="14.21875" bestFit="1" customWidth="1"/>
    <col min="3" max="4" width="4.33203125" bestFit="1" customWidth="1"/>
    <col min="5" max="5" width="7.44140625" bestFit="1" customWidth="1"/>
    <col min="8" max="8" width="35" bestFit="1" customWidth="1"/>
    <col min="9" max="9" width="21.5546875" bestFit="1" customWidth="1"/>
    <col min="10" max="10" width="15.44140625" bestFit="1" customWidth="1"/>
    <col min="11" max="11" width="17.5546875" customWidth="1"/>
  </cols>
  <sheetData>
    <row r="1" spans="1:11" ht="21.6" x14ac:dyDescent="0.25">
      <c r="A1" s="1" t="s">
        <v>0</v>
      </c>
      <c r="B1" s="2"/>
      <c r="C1" s="2"/>
      <c r="D1" s="3"/>
      <c r="E1" s="4" t="e" vm="1">
        <v>#VALUE!</v>
      </c>
      <c r="F1" s="4"/>
      <c r="G1" s="5"/>
      <c r="H1" s="6" t="s">
        <v>1</v>
      </c>
      <c r="I1" s="7" t="s">
        <v>2</v>
      </c>
      <c r="J1" s="8" t="s">
        <v>3</v>
      </c>
      <c r="K1" s="9" t="s">
        <v>4</v>
      </c>
    </row>
    <row r="2" spans="1:11" ht="21.6" x14ac:dyDescent="0.25">
      <c r="A2" s="10"/>
      <c r="B2" s="11"/>
      <c r="C2" s="11"/>
      <c r="D2" s="12"/>
      <c r="E2" s="13"/>
      <c r="F2" s="13"/>
      <c r="G2" s="14"/>
      <c r="H2" s="15" t="s">
        <v>5</v>
      </c>
      <c r="I2" s="16">
        <v>0</v>
      </c>
      <c r="J2" s="17" t="s">
        <v>6</v>
      </c>
      <c r="K2" s="18" t="s">
        <v>7</v>
      </c>
    </row>
    <row r="3" spans="1:11" ht="21.6" x14ac:dyDescent="0.25">
      <c r="A3" s="10"/>
      <c r="B3" s="11"/>
      <c r="C3" s="11"/>
      <c r="D3" s="12"/>
      <c r="E3" s="13"/>
      <c r="F3" s="13"/>
      <c r="G3" s="14"/>
      <c r="H3" s="15" t="s">
        <v>8</v>
      </c>
      <c r="I3" s="16">
        <v>0</v>
      </c>
      <c r="J3" s="17" t="s">
        <v>9</v>
      </c>
      <c r="K3" s="18" t="s">
        <v>7</v>
      </c>
    </row>
    <row r="4" spans="1:11" ht="22.2" thickBot="1" x14ac:dyDescent="0.3">
      <c r="A4" s="19"/>
      <c r="B4" s="20"/>
      <c r="C4" s="20"/>
      <c r="D4" s="21"/>
      <c r="E4" s="22"/>
      <c r="F4" s="22"/>
      <c r="G4" s="23"/>
      <c r="H4" s="24" t="s">
        <v>10</v>
      </c>
      <c r="I4" s="25">
        <f>I2+I3</f>
        <v>0</v>
      </c>
      <c r="J4" s="26" t="s">
        <v>11</v>
      </c>
      <c r="K4" s="27" t="s">
        <v>76</v>
      </c>
    </row>
    <row r="5" spans="1:11" ht="21.6" x14ac:dyDescent="0.25">
      <c r="A5" s="28" t="s">
        <v>12</v>
      </c>
      <c r="B5" s="29" t="s">
        <v>13</v>
      </c>
      <c r="C5" s="30" t="s">
        <v>14</v>
      </c>
      <c r="D5" s="30"/>
      <c r="E5" s="30"/>
      <c r="F5" s="30" t="s">
        <v>15</v>
      </c>
      <c r="G5" s="30"/>
      <c r="H5" s="30"/>
      <c r="I5" s="29" t="s">
        <v>16</v>
      </c>
      <c r="J5" s="30" t="s">
        <v>17</v>
      </c>
      <c r="K5" s="31"/>
    </row>
    <row r="6" spans="1:11" ht="21.6" x14ac:dyDescent="0.25">
      <c r="A6" s="32">
        <v>1</v>
      </c>
      <c r="B6" s="33" t="s">
        <v>18</v>
      </c>
      <c r="C6" s="34" t="s">
        <v>19</v>
      </c>
      <c r="D6" s="34" t="s">
        <v>20</v>
      </c>
      <c r="E6" s="34" t="s">
        <v>21</v>
      </c>
      <c r="F6" s="35" t="s">
        <v>22</v>
      </c>
      <c r="G6" s="35"/>
      <c r="H6" s="35"/>
      <c r="I6" s="36">
        <v>7000000</v>
      </c>
      <c r="J6" s="37" t="s">
        <v>23</v>
      </c>
      <c r="K6" s="38"/>
    </row>
    <row r="7" spans="1:11" ht="21.6" x14ac:dyDescent="0.25">
      <c r="A7" s="32">
        <v>2</v>
      </c>
      <c r="B7" s="33" t="s">
        <v>18</v>
      </c>
      <c r="C7" s="34" t="s">
        <v>19</v>
      </c>
      <c r="D7" s="34" t="s">
        <v>20</v>
      </c>
      <c r="E7" s="34" t="s">
        <v>21</v>
      </c>
      <c r="F7" s="35" t="s">
        <v>24</v>
      </c>
      <c r="G7" s="35"/>
      <c r="H7" s="35"/>
      <c r="I7" s="36">
        <v>7000000</v>
      </c>
      <c r="J7" s="37" t="s">
        <v>23</v>
      </c>
      <c r="K7" s="38"/>
    </row>
    <row r="8" spans="1:11" ht="21.6" x14ac:dyDescent="0.25">
      <c r="A8" s="32">
        <v>3</v>
      </c>
      <c r="B8" s="33" t="s">
        <v>18</v>
      </c>
      <c r="C8" s="34" t="s">
        <v>25</v>
      </c>
      <c r="D8" s="34" t="s">
        <v>26</v>
      </c>
      <c r="E8" s="34" t="s">
        <v>21</v>
      </c>
      <c r="F8" s="35" t="s">
        <v>27</v>
      </c>
      <c r="G8" s="35"/>
      <c r="H8" s="35"/>
      <c r="I8" s="36">
        <v>35000000</v>
      </c>
      <c r="J8" s="37" t="s">
        <v>28</v>
      </c>
      <c r="K8" s="38"/>
    </row>
    <row r="9" spans="1:11" ht="21.6" x14ac:dyDescent="0.25">
      <c r="A9" s="32">
        <v>4</v>
      </c>
      <c r="B9" s="33" t="s">
        <v>18</v>
      </c>
      <c r="C9" s="34" t="s">
        <v>25</v>
      </c>
      <c r="D9" s="34" t="s">
        <v>26</v>
      </c>
      <c r="E9" s="34" t="s">
        <v>21</v>
      </c>
      <c r="F9" s="35" t="s">
        <v>29</v>
      </c>
      <c r="G9" s="35"/>
      <c r="H9" s="35"/>
      <c r="I9" s="36">
        <v>7000000</v>
      </c>
      <c r="J9" s="37" t="s">
        <v>23</v>
      </c>
      <c r="K9" s="38"/>
    </row>
    <row r="10" spans="1:11" ht="21.6" x14ac:dyDescent="0.25">
      <c r="A10" s="32">
        <v>5</v>
      </c>
      <c r="B10" s="33" t="s">
        <v>18</v>
      </c>
      <c r="C10" s="34" t="s">
        <v>30</v>
      </c>
      <c r="D10" s="34" t="s">
        <v>26</v>
      </c>
      <c r="E10" s="34" t="s">
        <v>21</v>
      </c>
      <c r="F10" s="35" t="s">
        <v>29</v>
      </c>
      <c r="G10" s="35"/>
      <c r="H10" s="35"/>
      <c r="I10" s="36">
        <v>7000000</v>
      </c>
      <c r="J10" s="37" t="s">
        <v>31</v>
      </c>
      <c r="K10" s="38"/>
    </row>
    <row r="11" spans="1:11" ht="21.6" x14ac:dyDescent="0.25">
      <c r="A11" s="32">
        <v>6</v>
      </c>
      <c r="B11" s="33" t="s">
        <v>18</v>
      </c>
      <c r="C11" s="34" t="s">
        <v>32</v>
      </c>
      <c r="D11" s="34" t="s">
        <v>26</v>
      </c>
      <c r="E11" s="34" t="s">
        <v>21</v>
      </c>
      <c r="F11" s="35" t="s">
        <v>33</v>
      </c>
      <c r="G11" s="35"/>
      <c r="H11" s="35"/>
      <c r="I11" s="36">
        <v>21000000</v>
      </c>
      <c r="J11" s="37" t="s">
        <v>28</v>
      </c>
      <c r="K11" s="38"/>
    </row>
    <row r="12" spans="1:11" ht="21.6" x14ac:dyDescent="0.25">
      <c r="A12" s="32">
        <v>7</v>
      </c>
      <c r="B12" s="33" t="s">
        <v>18</v>
      </c>
      <c r="C12" s="34" t="s">
        <v>34</v>
      </c>
      <c r="D12" s="34" t="s">
        <v>26</v>
      </c>
      <c r="E12" s="34" t="s">
        <v>21</v>
      </c>
      <c r="F12" s="35" t="s">
        <v>35</v>
      </c>
      <c r="G12" s="35"/>
      <c r="H12" s="35"/>
      <c r="I12" s="36">
        <v>14000000</v>
      </c>
      <c r="J12" s="37" t="s">
        <v>28</v>
      </c>
      <c r="K12" s="38"/>
    </row>
    <row r="13" spans="1:11" ht="21.6" x14ac:dyDescent="0.25">
      <c r="A13" s="32">
        <v>8</v>
      </c>
      <c r="B13" s="33" t="s">
        <v>18</v>
      </c>
      <c r="C13" s="34" t="s">
        <v>36</v>
      </c>
      <c r="D13" s="34" t="s">
        <v>26</v>
      </c>
      <c r="E13" s="34" t="s">
        <v>21</v>
      </c>
      <c r="F13" s="35" t="s">
        <v>37</v>
      </c>
      <c r="G13" s="35"/>
      <c r="H13" s="35"/>
      <c r="I13" s="36">
        <v>14000000</v>
      </c>
      <c r="J13" s="37" t="s">
        <v>28</v>
      </c>
      <c r="K13" s="38"/>
    </row>
    <row r="14" spans="1:11" ht="21.6" x14ac:dyDescent="0.25">
      <c r="A14" s="32">
        <v>9</v>
      </c>
      <c r="B14" s="33" t="s">
        <v>18</v>
      </c>
      <c r="C14" s="34" t="s">
        <v>38</v>
      </c>
      <c r="D14" s="34" t="s">
        <v>26</v>
      </c>
      <c r="E14" s="34" t="s">
        <v>21</v>
      </c>
      <c r="F14" s="35" t="s">
        <v>39</v>
      </c>
      <c r="G14" s="35"/>
      <c r="H14" s="35"/>
      <c r="I14" s="36">
        <v>10000000</v>
      </c>
      <c r="J14" s="37" t="s">
        <v>40</v>
      </c>
      <c r="K14" s="38"/>
    </row>
    <row r="15" spans="1:11" ht="21.6" x14ac:dyDescent="0.25">
      <c r="A15" s="32">
        <v>10</v>
      </c>
      <c r="B15" s="33" t="s">
        <v>18</v>
      </c>
      <c r="C15" s="34" t="s">
        <v>41</v>
      </c>
      <c r="D15" s="34" t="s">
        <v>26</v>
      </c>
      <c r="E15" s="34" t="s">
        <v>21</v>
      </c>
      <c r="F15" s="35" t="s">
        <v>42</v>
      </c>
      <c r="G15" s="35"/>
      <c r="H15" s="35"/>
      <c r="I15" s="39">
        <v>-30000000</v>
      </c>
      <c r="J15" s="37" t="s">
        <v>43</v>
      </c>
      <c r="K15" s="38"/>
    </row>
    <row r="16" spans="1:11" ht="21.6" x14ac:dyDescent="0.25">
      <c r="A16" s="32">
        <v>11</v>
      </c>
      <c r="B16" s="33" t="s">
        <v>18</v>
      </c>
      <c r="C16" s="34" t="s">
        <v>44</v>
      </c>
      <c r="D16" s="34" t="s">
        <v>26</v>
      </c>
      <c r="E16" s="34" t="s">
        <v>21</v>
      </c>
      <c r="F16" s="35" t="s">
        <v>45</v>
      </c>
      <c r="G16" s="35"/>
      <c r="H16" s="35"/>
      <c r="I16" s="39">
        <v>-2500000</v>
      </c>
      <c r="J16" s="37" t="s">
        <v>46</v>
      </c>
      <c r="K16" s="38"/>
    </row>
    <row r="17" spans="1:11" ht="21.6" x14ac:dyDescent="0.25">
      <c r="A17" s="32">
        <v>12</v>
      </c>
      <c r="B17" s="33" t="s">
        <v>18</v>
      </c>
      <c r="C17" s="34" t="s">
        <v>47</v>
      </c>
      <c r="D17" s="34" t="s">
        <v>26</v>
      </c>
      <c r="E17" s="34" t="s">
        <v>21</v>
      </c>
      <c r="F17" s="35" t="s">
        <v>48</v>
      </c>
      <c r="G17" s="35"/>
      <c r="H17" s="35"/>
      <c r="I17" s="39">
        <v>-3400000</v>
      </c>
      <c r="J17" s="37" t="s">
        <v>18</v>
      </c>
      <c r="K17" s="38"/>
    </row>
    <row r="18" spans="1:11" ht="21.6" x14ac:dyDescent="0.25">
      <c r="A18" s="32">
        <v>13</v>
      </c>
      <c r="B18" s="33" t="s">
        <v>18</v>
      </c>
      <c r="C18" s="34" t="s">
        <v>47</v>
      </c>
      <c r="D18" s="34" t="s">
        <v>26</v>
      </c>
      <c r="E18" s="34" t="s">
        <v>21</v>
      </c>
      <c r="F18" s="35" t="s">
        <v>49</v>
      </c>
      <c r="G18" s="35"/>
      <c r="H18" s="35"/>
      <c r="I18" s="39">
        <v>-7500000</v>
      </c>
      <c r="J18" s="37" t="s">
        <v>50</v>
      </c>
      <c r="K18" s="38"/>
    </row>
    <row r="19" spans="1:11" ht="21.6" x14ac:dyDescent="0.25">
      <c r="A19" s="32">
        <v>14</v>
      </c>
      <c r="B19" s="33" t="s">
        <v>18</v>
      </c>
      <c r="C19" s="34" t="s">
        <v>47</v>
      </c>
      <c r="D19" s="34" t="s">
        <v>26</v>
      </c>
      <c r="E19" s="34" t="s">
        <v>21</v>
      </c>
      <c r="F19" s="35" t="s">
        <v>51</v>
      </c>
      <c r="G19" s="35"/>
      <c r="H19" s="35"/>
      <c r="I19" s="39">
        <v>-1850000</v>
      </c>
      <c r="J19" s="37" t="s">
        <v>52</v>
      </c>
      <c r="K19" s="38"/>
    </row>
    <row r="20" spans="1:11" ht="21.6" x14ac:dyDescent="0.25">
      <c r="A20" s="32">
        <v>15</v>
      </c>
      <c r="B20" s="33" t="s">
        <v>18</v>
      </c>
      <c r="C20" s="34" t="s">
        <v>47</v>
      </c>
      <c r="D20" s="34" t="s">
        <v>26</v>
      </c>
      <c r="E20" s="34" t="s">
        <v>21</v>
      </c>
      <c r="F20" s="35" t="s">
        <v>53</v>
      </c>
      <c r="G20" s="35"/>
      <c r="H20" s="35"/>
      <c r="I20" s="39">
        <v>-4030000</v>
      </c>
      <c r="J20" s="37" t="s">
        <v>54</v>
      </c>
      <c r="K20" s="38"/>
    </row>
    <row r="21" spans="1:11" ht="21.6" x14ac:dyDescent="0.25">
      <c r="A21" s="32">
        <v>16</v>
      </c>
      <c r="B21" s="33" t="s">
        <v>18</v>
      </c>
      <c r="C21" s="34" t="s">
        <v>55</v>
      </c>
      <c r="D21" s="34" t="s">
        <v>36</v>
      </c>
      <c r="E21" s="34" t="s">
        <v>21</v>
      </c>
      <c r="F21" s="35" t="s">
        <v>56</v>
      </c>
      <c r="G21" s="35"/>
      <c r="H21" s="35"/>
      <c r="I21" s="40">
        <v>7000000</v>
      </c>
      <c r="J21" s="37" t="s">
        <v>57</v>
      </c>
      <c r="K21" s="38"/>
    </row>
    <row r="22" spans="1:11" ht="21.6" x14ac:dyDescent="0.25">
      <c r="A22" s="32">
        <v>17</v>
      </c>
      <c r="B22" s="33" t="s">
        <v>18</v>
      </c>
      <c r="C22" s="34" t="s">
        <v>58</v>
      </c>
      <c r="D22" s="34" t="s">
        <v>36</v>
      </c>
      <c r="E22" s="34" t="s">
        <v>21</v>
      </c>
      <c r="F22" s="35" t="s">
        <v>59</v>
      </c>
      <c r="G22" s="35"/>
      <c r="H22" s="35"/>
      <c r="I22" s="40">
        <v>21000000</v>
      </c>
      <c r="J22" s="37" t="s">
        <v>60</v>
      </c>
      <c r="K22" s="38"/>
    </row>
    <row r="23" spans="1:11" ht="21.6" x14ac:dyDescent="0.25">
      <c r="A23" s="32">
        <v>18</v>
      </c>
      <c r="B23" s="33" t="s">
        <v>18</v>
      </c>
      <c r="C23" s="34" t="s">
        <v>41</v>
      </c>
      <c r="D23" s="34" t="s">
        <v>36</v>
      </c>
      <c r="E23" s="34" t="s">
        <v>21</v>
      </c>
      <c r="F23" s="41" t="s">
        <v>61</v>
      </c>
      <c r="G23" s="41"/>
      <c r="H23" s="41"/>
      <c r="I23" s="40">
        <v>16000000</v>
      </c>
      <c r="J23" s="37" t="s">
        <v>62</v>
      </c>
      <c r="K23" s="38"/>
    </row>
    <row r="24" spans="1:11" ht="21.6" x14ac:dyDescent="0.25">
      <c r="A24" s="32">
        <v>19</v>
      </c>
      <c r="B24" s="33" t="s">
        <v>18</v>
      </c>
      <c r="C24" s="34" t="s">
        <v>63</v>
      </c>
      <c r="D24" s="34" t="s">
        <v>36</v>
      </c>
      <c r="E24" s="34" t="s">
        <v>21</v>
      </c>
      <c r="F24" s="35" t="s">
        <v>64</v>
      </c>
      <c r="G24" s="35"/>
      <c r="H24" s="35"/>
      <c r="I24" s="40">
        <v>239001</v>
      </c>
      <c r="J24" s="37" t="s">
        <v>65</v>
      </c>
      <c r="K24" s="38"/>
    </row>
    <row r="25" spans="1:11" ht="22.2" thickBot="1" x14ac:dyDescent="0.3">
      <c r="A25" s="42">
        <v>20</v>
      </c>
      <c r="B25" s="33" t="s">
        <v>18</v>
      </c>
      <c r="C25" s="43" t="s">
        <v>63</v>
      </c>
      <c r="D25" s="44" t="s">
        <v>36</v>
      </c>
      <c r="E25" s="44" t="s">
        <v>21</v>
      </c>
      <c r="F25" s="45" t="s">
        <v>66</v>
      </c>
      <c r="G25" s="46"/>
      <c r="H25" s="47"/>
      <c r="I25" s="48">
        <v>18000000</v>
      </c>
      <c r="J25" s="49" t="s">
        <v>62</v>
      </c>
      <c r="K25" s="50"/>
    </row>
    <row r="26" spans="1:11" ht="22.2" thickBot="1" x14ac:dyDescent="0.3">
      <c r="A26" s="51">
        <v>21</v>
      </c>
      <c r="B26" s="33" t="s">
        <v>18</v>
      </c>
      <c r="C26" s="43" t="s">
        <v>67</v>
      </c>
      <c r="D26" s="43" t="s">
        <v>36</v>
      </c>
      <c r="E26" s="43" t="s">
        <v>21</v>
      </c>
      <c r="F26" s="35" t="s">
        <v>22</v>
      </c>
      <c r="G26" s="35"/>
      <c r="H26" s="35"/>
      <c r="I26" s="52">
        <v>6000000</v>
      </c>
      <c r="J26" s="53" t="s">
        <v>62</v>
      </c>
      <c r="K26" s="54"/>
    </row>
    <row r="27" spans="1:11" ht="22.2" thickBot="1" x14ac:dyDescent="0.3">
      <c r="A27" s="51">
        <v>21</v>
      </c>
      <c r="B27" s="33" t="s">
        <v>18</v>
      </c>
      <c r="C27" s="43" t="s">
        <v>68</v>
      </c>
      <c r="D27" s="43" t="s">
        <v>36</v>
      </c>
      <c r="E27" s="43" t="s">
        <v>21</v>
      </c>
      <c r="F27" s="35" t="s">
        <v>69</v>
      </c>
      <c r="G27" s="35"/>
      <c r="H27" s="35"/>
      <c r="I27" s="52">
        <v>7000000</v>
      </c>
      <c r="J27" s="53" t="s">
        <v>62</v>
      </c>
      <c r="K27" s="54"/>
    </row>
    <row r="28" spans="1:11" ht="21.6" x14ac:dyDescent="0.25">
      <c r="A28" s="55" t="s">
        <v>70</v>
      </c>
      <c r="B28" s="56"/>
      <c r="C28" s="56"/>
      <c r="D28" s="56"/>
      <c r="E28" s="56"/>
      <c r="F28" s="56"/>
      <c r="G28" s="56"/>
      <c r="H28" s="57"/>
      <c r="I28" s="58">
        <f>SUM(I6:I27)</f>
        <v>147959001</v>
      </c>
      <c r="J28" s="59"/>
      <c r="K28" s="60"/>
    </row>
    <row r="29" spans="1:11" ht="21.6" x14ac:dyDescent="0.25">
      <c r="A29" s="61" t="s">
        <v>71</v>
      </c>
      <c r="B29" s="62"/>
      <c r="C29" s="62"/>
      <c r="D29" s="62"/>
      <c r="E29" s="62"/>
      <c r="F29" s="62"/>
      <c r="G29" s="62"/>
      <c r="H29" s="63"/>
      <c r="I29" s="64">
        <f>I4-I28</f>
        <v>-147959001</v>
      </c>
      <c r="J29" s="37"/>
      <c r="K29" s="38"/>
    </row>
    <row r="30" spans="1:11" x14ac:dyDescent="0.25">
      <c r="A30" s="65" t="s">
        <v>72</v>
      </c>
      <c r="B30" s="66"/>
      <c r="C30" s="66"/>
      <c r="D30" s="66"/>
      <c r="E30" s="66"/>
      <c r="F30" s="66" t="s">
        <v>73</v>
      </c>
      <c r="G30" s="66"/>
      <c r="H30" s="66"/>
      <c r="I30" s="66" t="s">
        <v>74</v>
      </c>
      <c r="J30" s="66" t="s">
        <v>75</v>
      </c>
      <c r="K30" s="67"/>
    </row>
    <row r="31" spans="1:1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7"/>
    </row>
    <row r="32" spans="1:11" ht="13.8" thickBot="1" x14ac:dyDescent="0.3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</row>
  </sheetData>
  <mergeCells count="57">
    <mergeCell ref="A28:H28"/>
    <mergeCell ref="J28:K28"/>
    <mergeCell ref="A29:H29"/>
    <mergeCell ref="J29:K29"/>
    <mergeCell ref="A30:E32"/>
    <mergeCell ref="F30:H32"/>
    <mergeCell ref="I30:I32"/>
    <mergeCell ref="J30:K32"/>
    <mergeCell ref="F25:H25"/>
    <mergeCell ref="J25:K25"/>
    <mergeCell ref="F26:H26"/>
    <mergeCell ref="J26:K26"/>
    <mergeCell ref="F27:H27"/>
    <mergeCell ref="J27:K27"/>
    <mergeCell ref="F22:H22"/>
    <mergeCell ref="J22:K22"/>
    <mergeCell ref="F23:H23"/>
    <mergeCell ref="J23:K23"/>
    <mergeCell ref="F24:H24"/>
    <mergeCell ref="J24:K24"/>
    <mergeCell ref="F19:H19"/>
    <mergeCell ref="J19:K19"/>
    <mergeCell ref="F20:H20"/>
    <mergeCell ref="J20:K20"/>
    <mergeCell ref="F21:H21"/>
    <mergeCell ref="J21:K21"/>
    <mergeCell ref="F16:H16"/>
    <mergeCell ref="J16:K16"/>
    <mergeCell ref="F17:H17"/>
    <mergeCell ref="J17:K17"/>
    <mergeCell ref="F18:H18"/>
    <mergeCell ref="J18:K18"/>
    <mergeCell ref="F13:H13"/>
    <mergeCell ref="J13:K13"/>
    <mergeCell ref="F14:H14"/>
    <mergeCell ref="J14:K14"/>
    <mergeCell ref="F15:H15"/>
    <mergeCell ref="J15:K15"/>
    <mergeCell ref="F10:H10"/>
    <mergeCell ref="J10:K10"/>
    <mergeCell ref="F11:H11"/>
    <mergeCell ref="J11:K11"/>
    <mergeCell ref="F12:H12"/>
    <mergeCell ref="J12:K12"/>
    <mergeCell ref="F7:H7"/>
    <mergeCell ref="J7:K7"/>
    <mergeCell ref="F8:H8"/>
    <mergeCell ref="J8:K8"/>
    <mergeCell ref="F9:H9"/>
    <mergeCell ref="J9:K9"/>
    <mergeCell ref="A1:D4"/>
    <mergeCell ref="E1:G4"/>
    <mergeCell ref="C5:E5"/>
    <mergeCell ref="F5:H5"/>
    <mergeCell ref="J5:K5"/>
    <mergeCell ref="F6:H6"/>
    <mergeCell ref="J6:K6"/>
  </mergeCells>
  <pageMargins left="0.25" right="0.25" top="0.75" bottom="0.75" header="0.3" footer="0.3"/>
  <pageSetup paperSize="9" scale="7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6ACD-79A7-45E4-B9EB-4282CEB13B3D}">
  <sheetPr>
    <pageSetUpPr fitToPage="1"/>
  </sheetPr>
  <dimension ref="A1:K32"/>
  <sheetViews>
    <sheetView rightToLeft="1" tabSelected="1" workbookViewId="0">
      <selection activeCell="I9" sqref="I9"/>
    </sheetView>
  </sheetViews>
  <sheetFormatPr defaultRowHeight="13.2" x14ac:dyDescent="0.25"/>
  <cols>
    <col min="1" max="1" width="6.88671875" bestFit="1" customWidth="1"/>
    <col min="2" max="2" width="14.21875" bestFit="1" customWidth="1"/>
    <col min="3" max="4" width="4.33203125" bestFit="1" customWidth="1"/>
    <col min="5" max="5" width="7.44140625" bestFit="1" customWidth="1"/>
    <col min="8" max="8" width="35" bestFit="1" customWidth="1"/>
    <col min="9" max="9" width="21.5546875" bestFit="1" customWidth="1"/>
    <col min="10" max="10" width="15.44140625" bestFit="1" customWidth="1"/>
    <col min="11" max="11" width="17.5546875" customWidth="1"/>
  </cols>
  <sheetData>
    <row r="1" spans="1:11" ht="21.6" x14ac:dyDescent="0.25">
      <c r="A1" s="1" t="s">
        <v>0</v>
      </c>
      <c r="B1" s="2"/>
      <c r="C1" s="2"/>
      <c r="D1" s="3"/>
      <c r="E1" s="4" t="e" vm="1">
        <v>#VALUE!</v>
      </c>
      <c r="F1" s="4"/>
      <c r="G1" s="5"/>
      <c r="H1" s="6" t="s">
        <v>1</v>
      </c>
      <c r="I1" s="7" t="s">
        <v>2</v>
      </c>
      <c r="J1" s="8" t="s">
        <v>3</v>
      </c>
      <c r="K1" s="9" t="s">
        <v>4</v>
      </c>
    </row>
    <row r="2" spans="1:11" ht="21.6" x14ac:dyDescent="0.25">
      <c r="A2" s="10"/>
      <c r="B2" s="11"/>
      <c r="C2" s="11"/>
      <c r="D2" s="12"/>
      <c r="E2" s="13"/>
      <c r="F2" s="13"/>
      <c r="G2" s="14"/>
      <c r="H2" s="15" t="s">
        <v>5</v>
      </c>
      <c r="I2" s="16">
        <v>55722434</v>
      </c>
      <c r="J2" s="17" t="s">
        <v>6</v>
      </c>
      <c r="K2" s="18" t="s">
        <v>7</v>
      </c>
    </row>
    <row r="3" spans="1:11" ht="21.6" x14ac:dyDescent="0.25">
      <c r="A3" s="10"/>
      <c r="B3" s="11"/>
      <c r="C3" s="11"/>
      <c r="D3" s="12"/>
      <c r="E3" s="13"/>
      <c r="F3" s="13"/>
      <c r="G3" s="14"/>
      <c r="H3" s="15" t="s">
        <v>8</v>
      </c>
      <c r="I3" s="16">
        <v>0</v>
      </c>
      <c r="J3" s="17" t="s">
        <v>9</v>
      </c>
      <c r="K3" s="18" t="s">
        <v>7</v>
      </c>
    </row>
    <row r="4" spans="1:11" ht="22.2" thickBot="1" x14ac:dyDescent="0.3">
      <c r="A4" s="19"/>
      <c r="B4" s="20"/>
      <c r="C4" s="20"/>
      <c r="D4" s="21"/>
      <c r="E4" s="22"/>
      <c r="F4" s="22"/>
      <c r="G4" s="23"/>
      <c r="H4" s="24" t="s">
        <v>10</v>
      </c>
      <c r="I4" s="25">
        <f>I2+I3</f>
        <v>55722434</v>
      </c>
      <c r="J4" s="26" t="s">
        <v>11</v>
      </c>
      <c r="K4" s="27" t="s">
        <v>76</v>
      </c>
    </row>
    <row r="5" spans="1:11" ht="21.6" x14ac:dyDescent="0.25">
      <c r="A5" s="28" t="s">
        <v>12</v>
      </c>
      <c r="B5" s="29" t="s">
        <v>13</v>
      </c>
      <c r="C5" s="30" t="s">
        <v>14</v>
      </c>
      <c r="D5" s="30"/>
      <c r="E5" s="30"/>
      <c r="F5" s="30" t="s">
        <v>15</v>
      </c>
      <c r="G5" s="30"/>
      <c r="H5" s="30"/>
      <c r="I5" s="29" t="s">
        <v>16</v>
      </c>
      <c r="J5" s="30" t="s">
        <v>17</v>
      </c>
      <c r="K5" s="31"/>
    </row>
    <row r="6" spans="1:11" ht="21.6" x14ac:dyDescent="0.25">
      <c r="A6" s="32">
        <v>1</v>
      </c>
      <c r="B6" s="33" t="s">
        <v>18</v>
      </c>
      <c r="C6" s="34" t="s">
        <v>19</v>
      </c>
      <c r="D6" s="34" t="s">
        <v>20</v>
      </c>
      <c r="E6" s="34" t="s">
        <v>21</v>
      </c>
      <c r="F6" s="35" t="s">
        <v>77</v>
      </c>
      <c r="G6" s="35"/>
      <c r="H6" s="35"/>
      <c r="I6" s="36">
        <v>0</v>
      </c>
      <c r="J6" s="37">
        <v>16620000</v>
      </c>
      <c r="K6" s="38"/>
    </row>
    <row r="7" spans="1:11" ht="21.6" x14ac:dyDescent="0.25">
      <c r="A7" s="32">
        <v>2</v>
      </c>
      <c r="B7" s="33" t="s">
        <v>18</v>
      </c>
      <c r="C7" s="34" t="s">
        <v>19</v>
      </c>
      <c r="D7" s="34" t="s">
        <v>20</v>
      </c>
      <c r="E7" s="34" t="s">
        <v>21</v>
      </c>
      <c r="F7" s="35" t="s">
        <v>78</v>
      </c>
      <c r="G7" s="35"/>
      <c r="H7" s="35"/>
      <c r="I7" s="36">
        <v>0</v>
      </c>
      <c r="J7" s="37">
        <v>5100000</v>
      </c>
      <c r="K7" s="38"/>
    </row>
    <row r="8" spans="1:11" ht="21.6" x14ac:dyDescent="0.25">
      <c r="A8" s="32">
        <v>3</v>
      </c>
      <c r="B8" s="33" t="s">
        <v>18</v>
      </c>
      <c r="C8" s="34" t="s">
        <v>25</v>
      </c>
      <c r="D8" s="34" t="s">
        <v>26</v>
      </c>
      <c r="E8" s="34" t="s">
        <v>21</v>
      </c>
      <c r="F8" s="35" t="s">
        <v>79</v>
      </c>
      <c r="G8" s="35"/>
      <c r="H8" s="35"/>
      <c r="I8" s="36">
        <v>0</v>
      </c>
      <c r="J8" s="37">
        <v>80000000</v>
      </c>
      <c r="K8" s="38"/>
    </row>
    <row r="9" spans="1:11" ht="21.6" x14ac:dyDescent="0.25">
      <c r="A9" s="32">
        <v>4</v>
      </c>
      <c r="B9" s="33" t="s">
        <v>18</v>
      </c>
      <c r="C9" s="34" t="s">
        <v>25</v>
      </c>
      <c r="D9" s="34" t="s">
        <v>26</v>
      </c>
      <c r="E9" s="34" t="s">
        <v>21</v>
      </c>
      <c r="F9" s="35"/>
      <c r="G9" s="35"/>
      <c r="H9" s="35"/>
      <c r="I9" s="36"/>
      <c r="J9" s="37"/>
      <c r="K9" s="38"/>
    </row>
    <row r="10" spans="1:11" ht="21.6" x14ac:dyDescent="0.25">
      <c r="A10" s="32">
        <v>5</v>
      </c>
      <c r="B10" s="33" t="s">
        <v>18</v>
      </c>
      <c r="C10" s="34" t="s">
        <v>30</v>
      </c>
      <c r="D10" s="34" t="s">
        <v>26</v>
      </c>
      <c r="E10" s="34" t="s">
        <v>21</v>
      </c>
      <c r="F10" s="35"/>
      <c r="G10" s="35"/>
      <c r="H10" s="35"/>
      <c r="I10" s="36"/>
      <c r="J10" s="37"/>
      <c r="K10" s="38"/>
    </row>
    <row r="11" spans="1:11" ht="21.6" x14ac:dyDescent="0.25">
      <c r="A11" s="32">
        <v>6</v>
      </c>
      <c r="B11" s="33" t="s">
        <v>18</v>
      </c>
      <c r="C11" s="34" t="s">
        <v>32</v>
      </c>
      <c r="D11" s="34" t="s">
        <v>26</v>
      </c>
      <c r="E11" s="34" t="s">
        <v>21</v>
      </c>
      <c r="F11" s="35"/>
      <c r="G11" s="35"/>
      <c r="H11" s="35"/>
      <c r="I11" s="36"/>
      <c r="J11" s="37"/>
      <c r="K11" s="38"/>
    </row>
    <row r="12" spans="1:11" ht="21.6" x14ac:dyDescent="0.25">
      <c r="A12" s="32">
        <v>7</v>
      </c>
      <c r="B12" s="33" t="s">
        <v>18</v>
      </c>
      <c r="C12" s="34" t="s">
        <v>34</v>
      </c>
      <c r="D12" s="34" t="s">
        <v>26</v>
      </c>
      <c r="E12" s="34" t="s">
        <v>21</v>
      </c>
      <c r="F12" s="35"/>
      <c r="G12" s="35"/>
      <c r="H12" s="35"/>
      <c r="I12" s="36"/>
      <c r="J12" s="37"/>
      <c r="K12" s="38"/>
    </row>
    <row r="13" spans="1:11" ht="21.6" x14ac:dyDescent="0.25">
      <c r="A13" s="32">
        <v>8</v>
      </c>
      <c r="B13" s="33" t="s">
        <v>18</v>
      </c>
      <c r="C13" s="34" t="s">
        <v>36</v>
      </c>
      <c r="D13" s="34" t="s">
        <v>26</v>
      </c>
      <c r="E13" s="34" t="s">
        <v>21</v>
      </c>
      <c r="F13" s="35"/>
      <c r="G13" s="35"/>
      <c r="H13" s="35"/>
      <c r="I13" s="36"/>
      <c r="J13" s="37"/>
      <c r="K13" s="38"/>
    </row>
    <row r="14" spans="1:11" ht="21.6" x14ac:dyDescent="0.25">
      <c r="A14" s="32">
        <v>9</v>
      </c>
      <c r="B14" s="33" t="s">
        <v>18</v>
      </c>
      <c r="C14" s="34" t="s">
        <v>38</v>
      </c>
      <c r="D14" s="34" t="s">
        <v>26</v>
      </c>
      <c r="E14" s="34" t="s">
        <v>21</v>
      </c>
      <c r="F14" s="35"/>
      <c r="G14" s="35"/>
      <c r="H14" s="35"/>
      <c r="I14" s="36"/>
      <c r="J14" s="37"/>
      <c r="K14" s="38"/>
    </row>
    <row r="15" spans="1:11" ht="21.6" x14ac:dyDescent="0.25">
      <c r="A15" s="32">
        <v>10</v>
      </c>
      <c r="B15" s="33" t="s">
        <v>18</v>
      </c>
      <c r="C15" s="34" t="s">
        <v>41</v>
      </c>
      <c r="D15" s="34" t="s">
        <v>26</v>
      </c>
      <c r="E15" s="34" t="s">
        <v>21</v>
      </c>
      <c r="F15" s="35"/>
      <c r="G15" s="35"/>
      <c r="H15" s="35"/>
      <c r="I15" s="39"/>
      <c r="J15" s="37"/>
      <c r="K15" s="38"/>
    </row>
    <row r="16" spans="1:11" ht="21.6" x14ac:dyDescent="0.25">
      <c r="A16" s="32">
        <v>11</v>
      </c>
      <c r="B16" s="33" t="s">
        <v>18</v>
      </c>
      <c r="C16" s="34" t="s">
        <v>44</v>
      </c>
      <c r="D16" s="34" t="s">
        <v>26</v>
      </c>
      <c r="E16" s="34" t="s">
        <v>21</v>
      </c>
      <c r="F16" s="35"/>
      <c r="G16" s="35"/>
      <c r="H16" s="35"/>
      <c r="I16" s="39"/>
      <c r="J16" s="37"/>
      <c r="K16" s="38"/>
    </row>
    <row r="17" spans="1:11" ht="21.6" x14ac:dyDescent="0.25">
      <c r="A17" s="32">
        <v>12</v>
      </c>
      <c r="B17" s="33" t="s">
        <v>18</v>
      </c>
      <c r="C17" s="34" t="s">
        <v>47</v>
      </c>
      <c r="D17" s="34" t="s">
        <v>26</v>
      </c>
      <c r="E17" s="34" t="s">
        <v>21</v>
      </c>
      <c r="F17" s="35"/>
      <c r="G17" s="35"/>
      <c r="H17" s="35"/>
      <c r="I17" s="39"/>
      <c r="J17" s="37"/>
      <c r="K17" s="38"/>
    </row>
    <row r="18" spans="1:11" ht="21.6" x14ac:dyDescent="0.25">
      <c r="A18" s="32">
        <v>13</v>
      </c>
      <c r="B18" s="33" t="s">
        <v>18</v>
      </c>
      <c r="C18" s="34" t="s">
        <v>47</v>
      </c>
      <c r="D18" s="34" t="s">
        <v>26</v>
      </c>
      <c r="E18" s="34" t="s">
        <v>21</v>
      </c>
      <c r="F18" s="35"/>
      <c r="G18" s="35"/>
      <c r="H18" s="35"/>
      <c r="I18" s="39"/>
      <c r="J18" s="37"/>
      <c r="K18" s="38"/>
    </row>
    <row r="19" spans="1:11" ht="21.6" x14ac:dyDescent="0.25">
      <c r="A19" s="32">
        <v>14</v>
      </c>
      <c r="B19" s="33" t="s">
        <v>18</v>
      </c>
      <c r="C19" s="34" t="s">
        <v>47</v>
      </c>
      <c r="D19" s="34" t="s">
        <v>26</v>
      </c>
      <c r="E19" s="34" t="s">
        <v>21</v>
      </c>
      <c r="F19" s="35"/>
      <c r="G19" s="35"/>
      <c r="H19" s="35"/>
      <c r="I19" s="39"/>
      <c r="J19" s="37"/>
      <c r="K19" s="38"/>
    </row>
    <row r="20" spans="1:11" ht="21.6" x14ac:dyDescent="0.25">
      <c r="A20" s="32">
        <v>15</v>
      </c>
      <c r="B20" s="33" t="s">
        <v>18</v>
      </c>
      <c r="C20" s="34" t="s">
        <v>47</v>
      </c>
      <c r="D20" s="34" t="s">
        <v>26</v>
      </c>
      <c r="E20" s="34" t="s">
        <v>21</v>
      </c>
      <c r="F20" s="35"/>
      <c r="G20" s="35"/>
      <c r="H20" s="35"/>
      <c r="I20" s="39"/>
      <c r="J20" s="37"/>
      <c r="K20" s="38"/>
    </row>
    <row r="21" spans="1:11" ht="21.6" x14ac:dyDescent="0.25">
      <c r="A21" s="32">
        <v>16</v>
      </c>
      <c r="B21" s="33" t="s">
        <v>18</v>
      </c>
      <c r="C21" s="34" t="s">
        <v>55</v>
      </c>
      <c r="D21" s="34" t="s">
        <v>36</v>
      </c>
      <c r="E21" s="34" t="s">
        <v>21</v>
      </c>
      <c r="F21" s="35"/>
      <c r="G21" s="35"/>
      <c r="H21" s="35"/>
      <c r="I21" s="40"/>
      <c r="J21" s="37"/>
      <c r="K21" s="38"/>
    </row>
    <row r="22" spans="1:11" ht="21.6" x14ac:dyDescent="0.25">
      <c r="A22" s="32">
        <v>17</v>
      </c>
      <c r="B22" s="33" t="s">
        <v>18</v>
      </c>
      <c r="C22" s="34" t="s">
        <v>58</v>
      </c>
      <c r="D22" s="34" t="s">
        <v>36</v>
      </c>
      <c r="E22" s="34" t="s">
        <v>21</v>
      </c>
      <c r="F22" s="35"/>
      <c r="G22" s="35"/>
      <c r="H22" s="35"/>
      <c r="I22" s="40"/>
      <c r="J22" s="37"/>
      <c r="K22" s="38"/>
    </row>
    <row r="23" spans="1:11" ht="21.6" x14ac:dyDescent="0.25">
      <c r="A23" s="32">
        <v>18</v>
      </c>
      <c r="B23" s="33" t="s">
        <v>18</v>
      </c>
      <c r="C23" s="34" t="s">
        <v>41</v>
      </c>
      <c r="D23" s="34" t="s">
        <v>36</v>
      </c>
      <c r="E23" s="34" t="s">
        <v>21</v>
      </c>
      <c r="F23" s="41"/>
      <c r="G23" s="41"/>
      <c r="H23" s="41"/>
      <c r="I23" s="40"/>
      <c r="J23" s="37"/>
      <c r="K23" s="38"/>
    </row>
    <row r="24" spans="1:11" ht="21.6" x14ac:dyDescent="0.25">
      <c r="A24" s="32">
        <v>19</v>
      </c>
      <c r="B24" s="33" t="s">
        <v>18</v>
      </c>
      <c r="C24" s="34" t="s">
        <v>63</v>
      </c>
      <c r="D24" s="34" t="s">
        <v>36</v>
      </c>
      <c r="E24" s="34" t="s">
        <v>21</v>
      </c>
      <c r="F24" s="35"/>
      <c r="G24" s="35"/>
      <c r="H24" s="35"/>
      <c r="I24" s="40"/>
      <c r="J24" s="37"/>
      <c r="K24" s="38"/>
    </row>
    <row r="25" spans="1:11" ht="22.2" thickBot="1" x14ac:dyDescent="0.3">
      <c r="A25" s="42">
        <v>20</v>
      </c>
      <c r="B25" s="33" t="s">
        <v>18</v>
      </c>
      <c r="C25" s="43" t="s">
        <v>63</v>
      </c>
      <c r="D25" s="44" t="s">
        <v>36</v>
      </c>
      <c r="E25" s="44" t="s">
        <v>21</v>
      </c>
      <c r="F25" s="45"/>
      <c r="G25" s="46"/>
      <c r="H25" s="47"/>
      <c r="I25" s="48"/>
      <c r="J25" s="49"/>
      <c r="K25" s="50"/>
    </row>
    <row r="26" spans="1:11" ht="22.2" thickBot="1" x14ac:dyDescent="0.3">
      <c r="A26" s="51">
        <v>21</v>
      </c>
      <c r="B26" s="33" t="s">
        <v>18</v>
      </c>
      <c r="C26" s="43" t="s">
        <v>67</v>
      </c>
      <c r="D26" s="43" t="s">
        <v>36</v>
      </c>
      <c r="E26" s="43" t="s">
        <v>21</v>
      </c>
      <c r="F26" s="35"/>
      <c r="G26" s="35"/>
      <c r="H26" s="35"/>
      <c r="I26" s="52"/>
      <c r="J26" s="53"/>
      <c r="K26" s="54"/>
    </row>
    <row r="27" spans="1:11" ht="22.2" thickBot="1" x14ac:dyDescent="0.3">
      <c r="A27" s="51">
        <v>21</v>
      </c>
      <c r="B27" s="33" t="s">
        <v>18</v>
      </c>
      <c r="C27" s="43" t="s">
        <v>68</v>
      </c>
      <c r="D27" s="43" t="s">
        <v>36</v>
      </c>
      <c r="E27" s="43" t="s">
        <v>21</v>
      </c>
      <c r="F27" s="35"/>
      <c r="G27" s="35"/>
      <c r="H27" s="35"/>
      <c r="I27" s="52"/>
      <c r="J27" s="53"/>
      <c r="K27" s="54"/>
    </row>
    <row r="28" spans="1:11" ht="21.6" x14ac:dyDescent="0.25">
      <c r="A28" s="55" t="s">
        <v>70</v>
      </c>
      <c r="B28" s="56"/>
      <c r="C28" s="56"/>
      <c r="D28" s="56"/>
      <c r="E28" s="56"/>
      <c r="F28" s="56"/>
      <c r="G28" s="56"/>
      <c r="H28" s="57"/>
      <c r="I28" s="58">
        <f>SUM(I6:I27)</f>
        <v>0</v>
      </c>
      <c r="J28" s="59"/>
      <c r="K28" s="60"/>
    </row>
    <row r="29" spans="1:11" ht="21.6" x14ac:dyDescent="0.25">
      <c r="A29" s="61" t="s">
        <v>71</v>
      </c>
      <c r="B29" s="62"/>
      <c r="C29" s="62"/>
      <c r="D29" s="62"/>
      <c r="E29" s="62"/>
      <c r="F29" s="62"/>
      <c r="G29" s="62"/>
      <c r="H29" s="63"/>
      <c r="I29" s="64">
        <f>I4-I28</f>
        <v>55722434</v>
      </c>
      <c r="J29" s="37"/>
      <c r="K29" s="38"/>
    </row>
    <row r="30" spans="1:11" x14ac:dyDescent="0.25">
      <c r="A30" s="65" t="s">
        <v>72</v>
      </c>
      <c r="B30" s="66"/>
      <c r="C30" s="66"/>
      <c r="D30" s="66"/>
      <c r="E30" s="66"/>
      <c r="F30" s="66" t="s">
        <v>73</v>
      </c>
      <c r="G30" s="66"/>
      <c r="H30" s="66"/>
      <c r="I30" s="66" t="s">
        <v>74</v>
      </c>
      <c r="J30" s="66" t="s">
        <v>75</v>
      </c>
      <c r="K30" s="67"/>
    </row>
    <row r="31" spans="1:1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7"/>
    </row>
    <row r="32" spans="1:11" ht="13.8" thickBot="1" x14ac:dyDescent="0.3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</row>
  </sheetData>
  <mergeCells count="57">
    <mergeCell ref="A28:H28"/>
    <mergeCell ref="J28:K28"/>
    <mergeCell ref="A29:H29"/>
    <mergeCell ref="J29:K29"/>
    <mergeCell ref="A30:E32"/>
    <mergeCell ref="F30:H32"/>
    <mergeCell ref="I30:I32"/>
    <mergeCell ref="J30:K32"/>
    <mergeCell ref="F25:H25"/>
    <mergeCell ref="J25:K25"/>
    <mergeCell ref="F26:H26"/>
    <mergeCell ref="J26:K26"/>
    <mergeCell ref="F27:H27"/>
    <mergeCell ref="J27:K27"/>
    <mergeCell ref="F22:H22"/>
    <mergeCell ref="J22:K22"/>
    <mergeCell ref="F23:H23"/>
    <mergeCell ref="J23:K23"/>
    <mergeCell ref="F24:H24"/>
    <mergeCell ref="J24:K24"/>
    <mergeCell ref="F19:H19"/>
    <mergeCell ref="J19:K19"/>
    <mergeCell ref="F20:H20"/>
    <mergeCell ref="J20:K20"/>
    <mergeCell ref="F21:H21"/>
    <mergeCell ref="J21:K21"/>
    <mergeCell ref="F16:H16"/>
    <mergeCell ref="J16:K16"/>
    <mergeCell ref="F17:H17"/>
    <mergeCell ref="J17:K17"/>
    <mergeCell ref="F18:H18"/>
    <mergeCell ref="J18:K18"/>
    <mergeCell ref="F13:H13"/>
    <mergeCell ref="J13:K13"/>
    <mergeCell ref="F14:H14"/>
    <mergeCell ref="J14:K14"/>
    <mergeCell ref="F15:H15"/>
    <mergeCell ref="J15:K15"/>
    <mergeCell ref="F10:H10"/>
    <mergeCell ref="J10:K10"/>
    <mergeCell ref="F11:H11"/>
    <mergeCell ref="J11:K11"/>
    <mergeCell ref="F12:H12"/>
    <mergeCell ref="J12:K12"/>
    <mergeCell ref="F7:H7"/>
    <mergeCell ref="J7:K7"/>
    <mergeCell ref="F8:H8"/>
    <mergeCell ref="J8:K8"/>
    <mergeCell ref="F9:H9"/>
    <mergeCell ref="J9:K9"/>
    <mergeCell ref="A1:D4"/>
    <mergeCell ref="E1:G4"/>
    <mergeCell ref="C5:E5"/>
    <mergeCell ref="F5:H5"/>
    <mergeCell ref="J5:K5"/>
    <mergeCell ref="F6:H6"/>
    <mergeCell ref="J6:K6"/>
  </mergeCells>
  <pageMargins left="0.25" right="0.25" top="0.75" bottom="0.75" header="0.3" footer="0.3"/>
  <pageSetup paperSize="9" scale="7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1404-9-11</vt:lpstr>
      <vt:lpstr>1404-12  - 1405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2026-05-05T12:29:22Z</dcterms:created>
  <dcterms:modified xsi:type="dcterms:W3CDTF">2026-05-05T12:42:54Z</dcterms:modified>
</cp:coreProperties>
</file>