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o center\شارژ اکسل\"/>
    </mc:Choice>
  </mc:AlternateContent>
  <xr:revisionPtr revIDLastSave="0" documentId="13_ncr:1_{72FA7D77-C0EE-4969-9515-1B5FD8AB9062}" xr6:coauthVersionLast="47" xr6:coauthVersionMax="47" xr10:uidLastSave="{00000000-0000-0000-0000-000000000000}"/>
  <bookViews>
    <workbookView xWindow="465" yWindow="-16320" windowWidth="29040" windowHeight="15720" activeTab="1" xr2:uid="{9818BB51-A81D-44A6-8C58-8A45AAC344C6}"/>
  </bookViews>
  <sheets>
    <sheet name="1404" sheetId="1" r:id="rId1"/>
    <sheet name="140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J19" i="2"/>
  <c r="K19" i="2"/>
  <c r="L19" i="2"/>
  <c r="M19" i="2"/>
  <c r="N19" i="2"/>
  <c r="O19" i="2"/>
  <c r="P19" i="2"/>
  <c r="H19" i="2"/>
  <c r="G19" i="2"/>
  <c r="H18" i="2"/>
  <c r="I18" i="2"/>
  <c r="J18" i="2"/>
  <c r="K18" i="2"/>
  <c r="L18" i="2"/>
  <c r="M18" i="2"/>
  <c r="N18" i="2"/>
  <c r="O18" i="2"/>
  <c r="P18" i="2"/>
  <c r="G18" i="2"/>
  <c r="H17" i="2"/>
  <c r="I17" i="2"/>
  <c r="J17" i="2"/>
  <c r="K17" i="2"/>
  <c r="L17" i="2"/>
  <c r="M17" i="2"/>
  <c r="N17" i="2"/>
  <c r="O17" i="2"/>
  <c r="P17" i="2"/>
  <c r="G17" i="2"/>
  <c r="H16" i="2"/>
  <c r="I16" i="2"/>
  <c r="J16" i="2"/>
  <c r="K16" i="2"/>
  <c r="L16" i="2"/>
  <c r="M16" i="2"/>
  <c r="N16" i="2"/>
  <c r="O16" i="2"/>
  <c r="P16" i="2"/>
  <c r="G16" i="2"/>
  <c r="G14" i="2"/>
  <c r="H14" i="2"/>
  <c r="I14" i="2"/>
  <c r="J14" i="2"/>
  <c r="K14" i="2"/>
  <c r="L14" i="2"/>
  <c r="M14" i="2"/>
  <c r="N14" i="2"/>
  <c r="O14" i="2"/>
  <c r="P14" i="2"/>
  <c r="H12" i="2"/>
  <c r="I12" i="2"/>
  <c r="J12" i="2"/>
  <c r="K12" i="2"/>
  <c r="L12" i="2"/>
  <c r="M12" i="2"/>
  <c r="N12" i="2"/>
  <c r="O12" i="2"/>
  <c r="P12" i="2"/>
  <c r="G12" i="2"/>
  <c r="P13" i="2"/>
  <c r="H13" i="2"/>
  <c r="I13" i="2"/>
  <c r="J13" i="2"/>
  <c r="K13" i="2"/>
  <c r="L13" i="2"/>
  <c r="M13" i="2"/>
  <c r="N13" i="2"/>
  <c r="O13" i="2"/>
  <c r="G13" i="2"/>
  <c r="O9" i="2"/>
  <c r="P9" i="2"/>
  <c r="H9" i="2"/>
  <c r="I9" i="2"/>
  <c r="J9" i="2"/>
  <c r="K9" i="2"/>
  <c r="L9" i="2"/>
  <c r="M9" i="2"/>
  <c r="N9" i="2"/>
  <c r="G9" i="2"/>
  <c r="P8" i="2"/>
  <c r="I8" i="2"/>
  <c r="J8" i="2"/>
  <c r="K8" i="2"/>
  <c r="L8" i="2"/>
  <c r="M8" i="2"/>
  <c r="N8" i="2"/>
  <c r="O8" i="2"/>
  <c r="H8" i="2"/>
  <c r="F8" i="2"/>
  <c r="F9" i="2"/>
  <c r="E9" i="2"/>
  <c r="E12" i="2"/>
  <c r="E8" i="2"/>
  <c r="F17" i="2"/>
  <c r="E17" i="2"/>
  <c r="F18" i="2"/>
  <c r="E18" i="2"/>
  <c r="G10" i="2"/>
  <c r="G11" i="2"/>
  <c r="G15" i="2"/>
  <c r="G8" i="2"/>
  <c r="F10" i="2"/>
  <c r="F11" i="2"/>
  <c r="F12" i="2"/>
  <c r="F13" i="2"/>
  <c r="F14" i="2"/>
  <c r="F15" i="2"/>
  <c r="F16" i="2"/>
  <c r="O9" i="1"/>
  <c r="E10" i="2"/>
  <c r="E11" i="2"/>
  <c r="E13" i="2"/>
  <c r="E14" i="2"/>
  <c r="E15" i="2"/>
  <c r="E16" i="2"/>
  <c r="A13" i="2"/>
  <c r="A14" i="2" s="1"/>
  <c r="A15" i="2" s="1"/>
  <c r="A16" i="2" s="1"/>
  <c r="A17" i="2" s="1"/>
  <c r="A18" i="2" s="1"/>
  <c r="A19" i="2" s="1"/>
  <c r="A7" i="2"/>
  <c r="A8" i="2" s="1"/>
  <c r="A9" i="2" s="1"/>
  <c r="A10" i="2" s="1"/>
  <c r="A11" i="2" s="1"/>
  <c r="P6" i="2"/>
  <c r="O6" i="2"/>
  <c r="N6" i="2"/>
  <c r="M6" i="2"/>
  <c r="L6" i="2"/>
  <c r="P18" i="1"/>
  <c r="O18" i="1"/>
  <c r="P17" i="1"/>
  <c r="O17" i="1"/>
  <c r="N17" i="1"/>
  <c r="M17" i="1"/>
  <c r="L17" i="1"/>
  <c r="P16" i="1"/>
  <c r="O16" i="1"/>
  <c r="N16" i="1"/>
  <c r="M16" i="1"/>
  <c r="L16" i="1"/>
  <c r="P15" i="1"/>
  <c r="O15" i="1"/>
  <c r="N15" i="1"/>
  <c r="M15" i="1"/>
  <c r="L15" i="1"/>
  <c r="P14" i="1"/>
  <c r="O14" i="1"/>
  <c r="N14" i="1"/>
  <c r="M14" i="1"/>
  <c r="L14" i="1"/>
  <c r="P13" i="1"/>
  <c r="O13" i="1"/>
  <c r="N13" i="1"/>
  <c r="M13" i="1"/>
  <c r="L13" i="1"/>
  <c r="A13" i="1"/>
  <c r="A14" i="1" s="1"/>
  <c r="A15" i="1" s="1"/>
  <c r="A16" i="1" s="1"/>
  <c r="A17" i="1" s="1"/>
  <c r="A18" i="1" s="1"/>
  <c r="A19" i="1" s="1"/>
  <c r="P12" i="1"/>
  <c r="O12" i="1"/>
  <c r="N12" i="1"/>
  <c r="M12" i="1"/>
  <c r="L12" i="1"/>
  <c r="P11" i="1"/>
  <c r="O11" i="1"/>
  <c r="N11" i="1"/>
  <c r="M11" i="1"/>
  <c r="L11" i="1"/>
  <c r="P10" i="1"/>
  <c r="O10" i="1"/>
  <c r="N10" i="1"/>
  <c r="M10" i="1"/>
  <c r="L10" i="1"/>
  <c r="P9" i="1"/>
  <c r="N9" i="1"/>
  <c r="M9" i="1"/>
  <c r="L9" i="1"/>
  <c r="P8" i="1"/>
  <c r="O8" i="1"/>
  <c r="N8" i="1"/>
  <c r="M8" i="1"/>
  <c r="L8" i="1"/>
  <c r="A7" i="1"/>
  <c r="A8" i="1" s="1"/>
  <c r="A9" i="1" s="1"/>
  <c r="A10" i="1" s="1"/>
  <c r="A11" i="1" s="1"/>
  <c r="P6" i="1"/>
  <c r="O6" i="1"/>
  <c r="N6" i="1"/>
  <c r="M6" i="1"/>
  <c r="L6" i="1"/>
</calcChain>
</file>

<file path=xl/sharedStrings.xml><?xml version="1.0" encoding="utf-8"?>
<sst xmlns="http://schemas.openxmlformats.org/spreadsheetml/2006/main" count="222" uniqueCount="50">
  <si>
    <t>مرکز نوآوری دانشکده مکانیک</t>
  </si>
  <si>
    <t>هزنیه ی شارژ به ازای هر میز</t>
  </si>
  <si>
    <t>لیست پرداختی آبونمان سال 1404 نرخ(700 هزار تومان به ازای هر میز)</t>
  </si>
  <si>
    <t>هزینه ی اجاره به ازای هر میز</t>
  </si>
  <si>
    <t>ردیف</t>
  </si>
  <si>
    <t>نام</t>
  </si>
  <si>
    <t>سرگروه</t>
  </si>
  <si>
    <t xml:space="preserve"> تعداد میز</t>
  </si>
  <si>
    <t>فروردین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</si>
  <si>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</si>
  <si>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</si>
  <si>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</si>
  <si>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</si>
  <si>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</si>
  <si>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</si>
  <si>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</si>
  <si>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</si>
  <si>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</si>
  <si>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 xml:space="preserve">بهمن </t>
  </si>
  <si>
    <t>اسفند</t>
  </si>
  <si>
    <t>آوان صنعت دانش گستر</t>
  </si>
  <si>
    <t>مهدی پورحسین</t>
  </si>
  <si>
    <t>-</t>
  </si>
  <si>
    <t>شامل هزینه ی آبونمان نمی شوند</t>
  </si>
  <si>
    <t>دکتر عظیمی</t>
  </si>
  <si>
    <t>مهدی گرجی</t>
  </si>
  <si>
    <t>فیدار</t>
  </si>
  <si>
    <t>حسین وارث</t>
  </si>
  <si>
    <t>بادی تک</t>
  </si>
  <si>
    <t>علی جعفری فشارکی</t>
  </si>
  <si>
    <t>سوشیانت</t>
  </si>
  <si>
    <t>مهدی طهماسبی</t>
  </si>
  <si>
    <t>شبیه سازان</t>
  </si>
  <si>
    <t>محمد فولادگر</t>
  </si>
  <si>
    <t>رایان رباتیک ایرانیان</t>
  </si>
  <si>
    <t>رامیلا عابدی آذر</t>
  </si>
  <si>
    <t>شرکت رهام</t>
  </si>
  <si>
    <t>ساره رضوی</t>
  </si>
  <si>
    <t>پایش تجهیز پیشتاز</t>
  </si>
  <si>
    <t>امیر یزدان مهر</t>
  </si>
  <si>
    <t>روبوتوپیا</t>
  </si>
  <si>
    <t>مهدی باغکی</t>
  </si>
  <si>
    <t>تیم ساز هم افزا</t>
  </si>
  <si>
    <t>نیلوفر مود</t>
  </si>
  <si>
    <t>سپیده تخمه چی</t>
  </si>
  <si>
    <t>شامل هزینه ی اجاره(900 هزارتومان) از اول دی ماه</t>
  </si>
  <si>
    <t>شعبانی</t>
  </si>
  <si>
    <t>از دی ماه به بعد هزینه ی شارژ هر میز 600 هزارتومن شده و مقداری از تیم ها نیازمند اصلاحیه می باشد</t>
  </si>
  <si>
    <t>محمد جواد حقی</t>
  </si>
  <si>
    <t>مبین هاشمی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</si>
</sst>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b/>
      <sz val="22"/>
      <color rgb="FF3B4E87"/>
      <name val="B Mitra"/>
      <charset val="178"/>
    </font>
    <font>
      <sz val="16"/>
      <color rgb="FF000000"/>
      <name val="B Mitra"/>
      <charset val="178"/>
    </font>
    <font>
      <b/>
      <sz val="16"/>
      <color rgb="FF3B4E87"/>
      <name val="B Mitra"/>
      <charset val="178"/>
    </font>
    <font>
      <b/>
      <sz val="16"/>
      <color rgb="FF1155CC"/>
      <name val="B Mitra"/>
      <charset val="178"/>
    </font>
    <font>
      <sz val="18"/>
      <color rgb="FF000000"/>
      <name val="B Mitra"/>
      <charset val="178"/>
    </font>
    <font>
      <sz val="20"/>
      <color rgb="FF000000"/>
      <name val="B Mitra"/>
      <charset val="178"/>
    </font>
    <font>
      <b/>
      <sz val="18"/>
      <color rgb="FF000000"/>
      <name val="B Mitra"/>
      <charset val="178"/>
    </font>
    <font>
      <b/>
      <sz val="12"/>
      <color rgb="FF000000"/>
      <name val="B Mitra"/>
      <charset val="178"/>
    </font>
    <font>
      <sz val="12"/>
      <color rgb="FF000000"/>
      <name val="B Mitra"/>
      <charset val="178"/>
    </font>
    <font>
      <sz val="14"/>
      <color rgb="FF000000"/>
      <name val="Arial"/>
      <family val="2"/>
    </font>
    <font>
      <sz val="18"/>
      <name val="B Mitra"/>
      <charset val="178"/>
    </font>
    <font>
      <sz val="18"/>
      <color theme="1"/>
      <name val="B Mitra"/>
      <charset val="178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rgb="FFE4E8F3"/>
      </patternFill>
    </fill>
    <fill>
      <patternFill patternType="solid">
        <fgColor rgb="FFE4E8F3"/>
        <bgColor rgb="FFE4E8F3"/>
      </patternFill>
    </fill>
    <fill>
      <patternFill patternType="solid">
        <fgColor rgb="FFFFFF00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ck">
        <color indexed="64"/>
      </right>
      <top style="thin">
        <color indexed="64"/>
      </top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ck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/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" fontId="5" fillId="0" borderId="17" xfId="0" applyNumberFormat="1" applyFont="1" applyBorder="1" applyAlignment="1">
      <alignment horizontal="center" vertical="center"/>
    </xf>
    <xf numFmtId="1" fontId="5" fillId="5" borderId="18" xfId="0" applyNumberFormat="1" applyFont="1" applyFill="1" applyBorder="1" applyAlignment="1">
      <alignment horizontal="center" vertical="center"/>
    </xf>
    <xf numFmtId="1" fontId="5" fillId="5" borderId="16" xfId="0" applyNumberFormat="1" applyFont="1" applyFill="1" applyBorder="1" applyAlignment="1">
      <alignment horizontal="center" vertical="center"/>
    </xf>
    <xf numFmtId="3" fontId="5" fillId="6" borderId="16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3" fontId="5" fillId="5" borderId="16" xfId="0" applyNumberFormat="1" applyFont="1" applyFill="1" applyBorder="1" applyAlignment="1">
      <alignment horizontal="center" vertical="center"/>
    </xf>
    <xf numFmtId="3" fontId="5" fillId="5" borderId="23" xfId="0" applyNumberFormat="1" applyFont="1" applyFill="1" applyBorder="1" applyAlignment="1">
      <alignment horizontal="center" vertical="center"/>
    </xf>
    <xf numFmtId="3" fontId="5" fillId="5" borderId="18" xfId="0" applyNumberFormat="1" applyFont="1" applyFill="1" applyBorder="1" applyAlignment="1">
      <alignment horizontal="center" vertical="center"/>
    </xf>
    <xf numFmtId="3" fontId="5" fillId="8" borderId="16" xfId="0" applyNumberFormat="1" applyFont="1" applyFill="1" applyBorder="1" applyAlignment="1">
      <alignment horizontal="center" vertical="center"/>
    </xf>
    <xf numFmtId="3" fontId="5" fillId="8" borderId="23" xfId="0" applyNumberFormat="1" applyFont="1" applyFill="1" applyBorder="1" applyAlignment="1">
      <alignment horizontal="center" vertical="center"/>
    </xf>
    <xf numFmtId="3" fontId="5" fillId="8" borderId="18" xfId="0" applyNumberFormat="1" applyFont="1" applyFill="1" applyBorder="1" applyAlignment="1">
      <alignment horizontal="center" vertical="center"/>
    </xf>
    <xf numFmtId="3" fontId="5" fillId="0" borderId="16" xfId="0" applyNumberFormat="1" applyFont="1" applyBorder="1" applyAlignment="1">
      <alignment horizontal="center" vertical="center"/>
    </xf>
    <xf numFmtId="3" fontId="5" fillId="4" borderId="23" xfId="0" applyNumberFormat="1" applyFont="1" applyFill="1" applyBorder="1" applyAlignment="1">
      <alignment horizontal="center" vertical="center"/>
    </xf>
    <xf numFmtId="3" fontId="5" fillId="9" borderId="18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6" borderId="23" xfId="0" applyNumberFormat="1" applyFont="1" applyFill="1" applyBorder="1" applyAlignment="1">
      <alignment horizontal="center" vertical="center"/>
    </xf>
    <xf numFmtId="3" fontId="5" fillId="6" borderId="18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3" fontId="5" fillId="10" borderId="16" xfId="0" applyNumberFormat="1" applyFont="1" applyFill="1" applyBorder="1" applyAlignment="1">
      <alignment horizontal="center" vertical="center"/>
    </xf>
    <xf numFmtId="3" fontId="5" fillId="10" borderId="18" xfId="0" applyNumberFormat="1" applyFont="1" applyFill="1" applyBorder="1" applyAlignment="1">
      <alignment horizontal="center" vertical="center"/>
    </xf>
    <xf numFmtId="3" fontId="5" fillId="10" borderId="0" xfId="0" applyNumberFormat="1" applyFont="1" applyFill="1" applyAlignment="1">
      <alignment horizontal="center" vertical="center"/>
    </xf>
    <xf numFmtId="3" fontId="11" fillId="11" borderId="16" xfId="0" applyNumberFormat="1" applyFont="1" applyFill="1" applyBorder="1" applyAlignment="1">
      <alignment horizontal="center" vertical="center"/>
    </xf>
    <xf numFmtId="3" fontId="12" fillId="8" borderId="16" xfId="0" applyNumberFormat="1" applyFont="1" applyFill="1" applyBorder="1" applyAlignment="1">
      <alignment horizontal="center" vertical="center"/>
    </xf>
    <xf numFmtId="0" fontId="5" fillId="12" borderId="2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3" fontId="11" fillId="13" borderId="16" xfId="0" applyNumberFormat="1" applyFont="1" applyFill="1" applyBorder="1" applyAlignment="1">
      <alignment horizontal="center" vertical="center"/>
    </xf>
    <xf numFmtId="3" fontId="5" fillId="13" borderId="0" xfId="0" applyNumberFormat="1" applyFont="1" applyFill="1" applyAlignment="1">
      <alignment horizontal="center" vertical="center"/>
    </xf>
    <xf numFmtId="3" fontId="5" fillId="13" borderId="16" xfId="0" applyNumberFormat="1" applyFont="1" applyFill="1" applyBorder="1" applyAlignment="1">
      <alignment horizontal="center" vertical="center"/>
    </xf>
    <xf numFmtId="3" fontId="11" fillId="14" borderId="16" xfId="0" applyNumberFormat="1" applyFont="1" applyFill="1" applyBorder="1" applyAlignment="1">
      <alignment horizontal="center" vertical="center"/>
    </xf>
    <xf numFmtId="1" fontId="5" fillId="14" borderId="16" xfId="0" applyNumberFormat="1" applyFont="1" applyFill="1" applyBorder="1" applyAlignment="1">
      <alignment horizontal="center" vertical="center"/>
    </xf>
    <xf numFmtId="3" fontId="5" fillId="14" borderId="16" xfId="0" applyNumberFormat="1" applyFont="1" applyFill="1" applyBorder="1" applyAlignment="1">
      <alignment horizontal="center" vertical="center"/>
    </xf>
    <xf numFmtId="3" fontId="5" fillId="14" borderId="23" xfId="0" applyNumberFormat="1" applyFont="1" applyFill="1" applyBorder="1" applyAlignment="1">
      <alignment horizontal="center" vertical="center"/>
    </xf>
    <xf numFmtId="3" fontId="5" fillId="14" borderId="18" xfId="0" applyNumberFormat="1" applyFont="1" applyFill="1" applyBorder="1" applyAlignment="1">
      <alignment horizontal="center" vertical="center"/>
    </xf>
    <xf numFmtId="1" fontId="5" fillId="14" borderId="18" xfId="0" applyNumberFormat="1" applyFont="1" applyFill="1" applyBorder="1" applyAlignment="1">
      <alignment horizontal="center" vertical="center"/>
    </xf>
    <xf numFmtId="3" fontId="11" fillId="9" borderId="1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7237-24B6-4786-8AB4-5EF4E6F8F96F}">
  <dimension ref="A1:V22"/>
  <sheetViews>
    <sheetView rightToLeft="1" topLeftCell="B1" zoomScale="90" zoomScaleNormal="90" workbookViewId="0">
      <selection activeCell="O12" sqref="O12"/>
    </sheetView>
  </sheetViews>
  <sheetFormatPr defaultRowHeight="13.2" x14ac:dyDescent="0.25"/>
  <cols>
    <col min="1" max="1" width="6.6640625" bestFit="1" customWidth="1"/>
    <col min="2" max="2" width="26.6640625" bestFit="1" customWidth="1"/>
    <col min="3" max="3" width="21.109375" bestFit="1" customWidth="1"/>
    <col min="4" max="4" width="11" bestFit="1" customWidth="1"/>
    <col min="5" max="5" width="10" bestFit="1" customWidth="1"/>
    <col min="6" max="6" width="11.88671875" bestFit="1" customWidth="1"/>
    <col min="7" max="7" width="7" bestFit="1" customWidth="1"/>
    <col min="8" max="8" width="4.33203125" bestFit="1" customWidth="1"/>
    <col min="9" max="9" width="6.44140625" bestFit="1" customWidth="1"/>
    <col min="10" max="10" width="9.33203125" bestFit="1" customWidth="1"/>
    <col min="11" max="11" width="5" bestFit="1" customWidth="1"/>
    <col min="12" max="13" width="12.109375" bestFit="1" customWidth="1"/>
    <col min="14" max="14" width="17.6640625" customWidth="1"/>
    <col min="15" max="15" width="13.33203125" bestFit="1" customWidth="1"/>
    <col min="16" max="16" width="12.44140625" bestFit="1" customWidth="1"/>
  </cols>
  <sheetData>
    <row r="1" spans="1:22" x14ac:dyDescent="0.2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1" t="s">
        <v>1</v>
      </c>
      <c r="R1" s="52"/>
      <c r="S1" s="53"/>
      <c r="T1" s="51">
        <v>600000</v>
      </c>
      <c r="U1" s="52"/>
      <c r="V1" s="53"/>
    </row>
    <row r="2" spans="1:22" ht="13.8" thickBot="1" x14ac:dyDescent="0.3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4"/>
      <c r="R2" s="55"/>
      <c r="S2" s="56"/>
      <c r="T2" s="54"/>
      <c r="U2" s="55"/>
      <c r="V2" s="56"/>
    </row>
    <row r="3" spans="1:22" x14ac:dyDescent="0.25">
      <c r="A3" s="57" t="s">
        <v>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1" t="s">
        <v>3</v>
      </c>
      <c r="R3" s="52"/>
      <c r="S3" s="53"/>
      <c r="T3" s="51">
        <v>900000</v>
      </c>
      <c r="U3" s="52"/>
      <c r="V3" s="53"/>
    </row>
    <row r="4" spans="1:22" ht="13.8" thickBot="1" x14ac:dyDescent="0.3">
      <c r="A4" s="59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54"/>
      <c r="R4" s="55"/>
      <c r="S4" s="56"/>
      <c r="T4" s="54"/>
      <c r="U4" s="55"/>
      <c r="V4" s="56"/>
    </row>
    <row r="5" spans="1:22" ht="25.8" thickBot="1" x14ac:dyDescent="0.3">
      <c r="A5" s="1" t="s">
        <v>4</v>
      </c>
      <c r="B5" s="2" t="s">
        <v>5</v>
      </c>
      <c r="C5" s="2" t="s">
        <v>6</v>
      </c>
      <c r="D5" s="3" t="s">
        <v>7</v>
      </c>
      <c r="E5" s="4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</row>
    <row r="6" spans="1:22" ht="30" thickBot="1" x14ac:dyDescent="0.3">
      <c r="A6" s="7">
        <v>1</v>
      </c>
      <c r="B6" s="8" t="s">
        <v>20</v>
      </c>
      <c r="C6" s="9" t="s">
        <v>21</v>
      </c>
      <c r="D6" s="10">
        <v>2</v>
      </c>
      <c r="E6" s="11" t="s">
        <v>22</v>
      </c>
      <c r="F6" s="12" t="s">
        <v>22</v>
      </c>
      <c r="G6" s="12" t="s">
        <v>22</v>
      </c>
      <c r="H6" s="12" t="s">
        <v>22</v>
      </c>
      <c r="I6" s="12" t="s">
        <v>22</v>
      </c>
      <c r="J6" s="12" t="s">
        <v>22</v>
      </c>
      <c r="K6" s="12" t="s">
        <v>22</v>
      </c>
      <c r="L6" s="13">
        <f>T1*D6</f>
        <v>1200000</v>
      </c>
      <c r="M6" s="13">
        <f>T1*D6</f>
        <v>1200000</v>
      </c>
      <c r="N6" s="13">
        <f>T1*D6</f>
        <v>1200000</v>
      </c>
      <c r="O6" s="13">
        <f>T1*D6</f>
        <v>1200000</v>
      </c>
      <c r="P6" s="35">
        <f>T1*D6</f>
        <v>1200000</v>
      </c>
      <c r="Q6" s="61" t="s">
        <v>23</v>
      </c>
      <c r="R6" s="62"/>
      <c r="S6" s="62"/>
      <c r="T6" s="62"/>
      <c r="U6" s="62"/>
      <c r="V6" s="63"/>
    </row>
    <row r="7" spans="1:22" ht="29.4" x14ac:dyDescent="0.25">
      <c r="A7" s="7">
        <f t="shared" ref="A7:A11" ca="1" si="0">OFFSET(A7,-1,0,1,1)+1</f>
        <v>2</v>
      </c>
      <c r="B7" s="14" t="s">
        <v>24</v>
      </c>
      <c r="C7" s="7" t="s">
        <v>25</v>
      </c>
      <c r="D7" s="15">
        <v>5</v>
      </c>
      <c r="E7" s="11" t="s">
        <v>22</v>
      </c>
      <c r="F7" s="12" t="s">
        <v>22</v>
      </c>
      <c r="G7" s="12" t="s">
        <v>22</v>
      </c>
      <c r="H7" s="12" t="s">
        <v>22</v>
      </c>
      <c r="I7" s="12" t="s">
        <v>22</v>
      </c>
      <c r="J7" s="12" t="s">
        <v>22</v>
      </c>
      <c r="K7" s="12" t="s">
        <v>22</v>
      </c>
      <c r="L7" s="16" t="s">
        <v>22</v>
      </c>
      <c r="M7" s="17" t="s">
        <v>22</v>
      </c>
      <c r="N7" s="18" t="s">
        <v>22</v>
      </c>
      <c r="O7" s="16" t="s">
        <v>22</v>
      </c>
      <c r="P7" s="35" t="s">
        <v>22</v>
      </c>
    </row>
    <row r="8" spans="1:22" ht="29.4" x14ac:dyDescent="0.25">
      <c r="A8" s="7">
        <f t="shared" ca="1" si="0"/>
        <v>3</v>
      </c>
      <c r="B8" s="14" t="s">
        <v>26</v>
      </c>
      <c r="C8" s="7" t="s">
        <v>27</v>
      </c>
      <c r="D8" s="15">
        <v>1</v>
      </c>
      <c r="E8" s="11" t="s">
        <v>22</v>
      </c>
      <c r="F8" s="12" t="s">
        <v>22</v>
      </c>
      <c r="G8" s="12" t="s">
        <v>22</v>
      </c>
      <c r="H8" s="12" t="s">
        <v>22</v>
      </c>
      <c r="I8" s="12" t="s">
        <v>22</v>
      </c>
      <c r="J8" s="12" t="s">
        <v>22</v>
      </c>
      <c r="K8" s="12" t="s">
        <v>22</v>
      </c>
      <c r="L8" s="19">
        <f>700000*D8</f>
        <v>700000</v>
      </c>
      <c r="M8" s="20">
        <f>700000*D8</f>
        <v>700000</v>
      </c>
      <c r="N8" s="21">
        <f>T1*D8</f>
        <v>600000</v>
      </c>
      <c r="O8" s="66">
        <f>600000*D8</f>
        <v>600000</v>
      </c>
      <c r="P8" s="35">
        <f>600000*D8</f>
        <v>600000</v>
      </c>
    </row>
    <row r="9" spans="1:22" ht="29.4" x14ac:dyDescent="0.25">
      <c r="A9" s="7">
        <f t="shared" ca="1" si="0"/>
        <v>4</v>
      </c>
      <c r="B9" s="14" t="s">
        <v>28</v>
      </c>
      <c r="C9" s="7" t="s">
        <v>29</v>
      </c>
      <c r="D9" s="15">
        <v>3</v>
      </c>
      <c r="E9" s="11" t="s">
        <v>22</v>
      </c>
      <c r="F9" s="12" t="s">
        <v>22</v>
      </c>
      <c r="G9" s="12" t="s">
        <v>22</v>
      </c>
      <c r="H9" s="12" t="s">
        <v>22</v>
      </c>
      <c r="I9" s="12" t="s">
        <v>22</v>
      </c>
      <c r="J9" s="12" t="s">
        <v>22</v>
      </c>
      <c r="K9" s="12" t="s">
        <v>22</v>
      </c>
      <c r="L9" s="19">
        <f>700000*2</f>
        <v>1400000</v>
      </c>
      <c r="M9" s="20">
        <f>700000*D9</f>
        <v>2100000</v>
      </c>
      <c r="N9" s="21">
        <f>600000*D9</f>
        <v>1800000</v>
      </c>
      <c r="O9" s="39">
        <f>600000*D9</f>
        <v>1800000</v>
      </c>
      <c r="P9" s="35">
        <f>600000*D9</f>
        <v>1800000</v>
      </c>
    </row>
    <row r="10" spans="1:22" ht="29.4" x14ac:dyDescent="0.25">
      <c r="A10" s="7">
        <f t="shared" ca="1" si="0"/>
        <v>5</v>
      </c>
      <c r="B10" s="14" t="s">
        <v>30</v>
      </c>
      <c r="C10" s="7" t="s">
        <v>31</v>
      </c>
      <c r="D10" s="15">
        <v>1</v>
      </c>
      <c r="E10" s="11" t="s">
        <v>22</v>
      </c>
      <c r="F10" s="12" t="s">
        <v>22</v>
      </c>
      <c r="G10" s="12" t="s">
        <v>22</v>
      </c>
      <c r="H10" s="12" t="s">
        <v>22</v>
      </c>
      <c r="I10" s="12" t="s">
        <v>22</v>
      </c>
      <c r="J10" s="12" t="s">
        <v>22</v>
      </c>
      <c r="K10" s="12" t="s">
        <v>22</v>
      </c>
      <c r="L10" s="19">
        <f t="shared" ref="L10:L12" si="1">700000*D10</f>
        <v>700000</v>
      </c>
      <c r="M10" s="20">
        <f>700000*D10</f>
        <v>700000</v>
      </c>
      <c r="N10" s="21">
        <f>T1*D10</f>
        <v>600000</v>
      </c>
      <c r="O10" s="22">
        <f>T1*D10</f>
        <v>600000</v>
      </c>
      <c r="P10" s="35">
        <f>T1*D10</f>
        <v>600000</v>
      </c>
    </row>
    <row r="11" spans="1:22" ht="29.4" x14ac:dyDescent="0.25">
      <c r="A11" s="7">
        <f t="shared" ca="1" si="0"/>
        <v>6</v>
      </c>
      <c r="B11" s="14" t="s">
        <v>32</v>
      </c>
      <c r="C11" s="7" t="s">
        <v>33</v>
      </c>
      <c r="D11" s="15">
        <v>1</v>
      </c>
      <c r="E11" s="11" t="s">
        <v>22</v>
      </c>
      <c r="F11" s="12" t="s">
        <v>22</v>
      </c>
      <c r="G11" s="12" t="s">
        <v>22</v>
      </c>
      <c r="H11" s="12" t="s">
        <v>22</v>
      </c>
      <c r="I11" s="12" t="s">
        <v>22</v>
      </c>
      <c r="J11" s="12" t="s">
        <v>22</v>
      </c>
      <c r="K11" s="12" t="s">
        <v>22</v>
      </c>
      <c r="L11" s="19">
        <f t="shared" si="1"/>
        <v>700000</v>
      </c>
      <c r="M11" s="23">
        <f>700000*D11</f>
        <v>700000</v>
      </c>
      <c r="N11" s="21">
        <f>600000*D11</f>
        <v>600000</v>
      </c>
      <c r="O11" s="22">
        <f>T1*D11</f>
        <v>600000</v>
      </c>
      <c r="P11" s="35">
        <f>T1*D11</f>
        <v>600000</v>
      </c>
    </row>
    <row r="12" spans="1:22" ht="29.4" x14ac:dyDescent="0.25">
      <c r="A12" s="7">
        <v>7</v>
      </c>
      <c r="B12" s="14" t="s">
        <v>34</v>
      </c>
      <c r="C12" s="7" t="s">
        <v>35</v>
      </c>
      <c r="D12" s="15">
        <v>1</v>
      </c>
      <c r="E12" s="11" t="s">
        <v>22</v>
      </c>
      <c r="F12" s="12" t="s">
        <v>22</v>
      </c>
      <c r="G12" s="12" t="s">
        <v>22</v>
      </c>
      <c r="H12" s="12" t="s">
        <v>22</v>
      </c>
      <c r="I12" s="12" t="s">
        <v>22</v>
      </c>
      <c r="J12" s="12" t="s">
        <v>22</v>
      </c>
      <c r="K12" s="12" t="s">
        <v>22</v>
      </c>
      <c r="L12" s="19">
        <f t="shared" si="1"/>
        <v>700000</v>
      </c>
      <c r="M12" s="20">
        <f>700000*D12</f>
        <v>700000</v>
      </c>
      <c r="N12" s="21">
        <f>T1*D12</f>
        <v>600000</v>
      </c>
      <c r="O12" s="22">
        <f>T1*D12</f>
        <v>600000</v>
      </c>
      <c r="P12" s="35">
        <f>T1*D12</f>
        <v>600000</v>
      </c>
    </row>
    <row r="13" spans="1:22" ht="30" thickBot="1" x14ac:dyDescent="0.3">
      <c r="A13" s="7">
        <f t="shared" ref="A13:A19" ca="1" si="2">OFFSET(A13,-1,0,1,1)+1</f>
        <v>8</v>
      </c>
      <c r="B13" s="14" t="s">
        <v>36</v>
      </c>
      <c r="C13" s="7" t="s">
        <v>37</v>
      </c>
      <c r="D13" s="15">
        <v>3</v>
      </c>
      <c r="E13" s="11" t="s">
        <v>22</v>
      </c>
      <c r="F13" s="12" t="s">
        <v>22</v>
      </c>
      <c r="G13" s="12" t="s">
        <v>22</v>
      </c>
      <c r="H13" s="12" t="s">
        <v>22</v>
      </c>
      <c r="I13" s="12" t="s">
        <v>22</v>
      </c>
      <c r="J13" s="12" t="s">
        <v>22</v>
      </c>
      <c r="K13" s="12" t="s">
        <v>22</v>
      </c>
      <c r="L13" s="24">
        <f>T1*D13</f>
        <v>1800000</v>
      </c>
      <c r="M13" s="24">
        <f>T1*D13</f>
        <v>1800000</v>
      </c>
      <c r="N13" s="24">
        <f>T1*D13</f>
        <v>1800000</v>
      </c>
      <c r="O13" s="24">
        <f>T1*D13</f>
        <v>1800000</v>
      </c>
      <c r="P13" s="36">
        <f>T1*D13</f>
        <v>1800000</v>
      </c>
    </row>
    <row r="14" spans="1:22" ht="30" thickBot="1" x14ac:dyDescent="0.3">
      <c r="A14" s="7">
        <f t="shared" ca="1" si="2"/>
        <v>9</v>
      </c>
      <c r="B14" s="25" t="s">
        <v>38</v>
      </c>
      <c r="C14" s="7" t="s">
        <v>39</v>
      </c>
      <c r="D14" s="15">
        <v>1</v>
      </c>
      <c r="E14" s="11" t="s">
        <v>22</v>
      </c>
      <c r="F14" s="12" t="s">
        <v>22</v>
      </c>
      <c r="G14" s="12" t="s">
        <v>22</v>
      </c>
      <c r="H14" s="12" t="s">
        <v>22</v>
      </c>
      <c r="I14" s="12" t="s">
        <v>22</v>
      </c>
      <c r="J14" s="12" t="s">
        <v>22</v>
      </c>
      <c r="K14" s="12" t="s">
        <v>22</v>
      </c>
      <c r="L14" s="13">
        <f>T1*(D14)</f>
        <v>600000</v>
      </c>
      <c r="M14" s="26">
        <f>T1*(D14)</f>
        <v>600000</v>
      </c>
      <c r="N14" s="27">
        <f>T1*(D14)</f>
        <v>600000</v>
      </c>
      <c r="O14" s="13">
        <f>T1*(D14)</f>
        <v>600000</v>
      </c>
      <c r="P14" s="35">
        <f>T1*(D14)</f>
        <v>600000</v>
      </c>
      <c r="Q14" s="61" t="s">
        <v>23</v>
      </c>
      <c r="R14" s="62"/>
      <c r="S14" s="62"/>
      <c r="T14" s="62"/>
      <c r="U14" s="62"/>
      <c r="V14" s="63"/>
    </row>
    <row r="15" spans="1:22" ht="30" thickBot="1" x14ac:dyDescent="0.3">
      <c r="A15" s="7">
        <f t="shared" ca="1" si="2"/>
        <v>10</v>
      </c>
      <c r="B15" s="14" t="s">
        <v>40</v>
      </c>
      <c r="C15" s="7" t="s">
        <v>41</v>
      </c>
      <c r="D15" s="15">
        <v>1</v>
      </c>
      <c r="E15" s="11" t="s">
        <v>22</v>
      </c>
      <c r="F15" s="12" t="s">
        <v>22</v>
      </c>
      <c r="G15" s="12" t="s">
        <v>22</v>
      </c>
      <c r="H15" s="12" t="s">
        <v>22</v>
      </c>
      <c r="I15" s="12" t="s">
        <v>22</v>
      </c>
      <c r="J15" s="12" t="s">
        <v>22</v>
      </c>
      <c r="K15" s="12" t="s">
        <v>22</v>
      </c>
      <c r="L15" s="19">
        <f t="shared" ref="L15" si="3">700000*D15</f>
        <v>700000</v>
      </c>
      <c r="M15" s="20">
        <f>700000*D15</f>
        <v>700000</v>
      </c>
      <c r="N15" s="21">
        <f>T1*D15</f>
        <v>600000</v>
      </c>
      <c r="O15" s="19">
        <f>T1*D15</f>
        <v>600000</v>
      </c>
      <c r="P15" s="35">
        <f>T1*D15</f>
        <v>600000</v>
      </c>
    </row>
    <row r="16" spans="1:22" ht="30" thickBot="1" x14ac:dyDescent="0.3">
      <c r="A16" s="7">
        <f t="shared" ca="1" si="2"/>
        <v>11</v>
      </c>
      <c r="B16" s="25" t="s">
        <v>42</v>
      </c>
      <c r="C16" s="7" t="s">
        <v>43</v>
      </c>
      <c r="D16" s="15">
        <v>1</v>
      </c>
      <c r="E16" s="11" t="s">
        <v>22</v>
      </c>
      <c r="F16" s="11" t="s">
        <v>22</v>
      </c>
      <c r="G16" s="11" t="s">
        <v>22</v>
      </c>
      <c r="H16" s="11" t="s">
        <v>22</v>
      </c>
      <c r="I16" s="11" t="s">
        <v>22</v>
      </c>
      <c r="J16" s="11" t="s">
        <v>22</v>
      </c>
      <c r="K16" s="11" t="s">
        <v>22</v>
      </c>
      <c r="L16" s="13">
        <f>T1*D16</f>
        <v>600000</v>
      </c>
      <c r="M16" s="13">
        <f>T1*D16</f>
        <v>600000</v>
      </c>
      <c r="N16" s="13">
        <f>T1*D16</f>
        <v>600000</v>
      </c>
      <c r="O16" s="13">
        <f>T1*D16</f>
        <v>600000</v>
      </c>
      <c r="P16" s="35">
        <f>T1*D16</f>
        <v>600000</v>
      </c>
      <c r="Q16" s="61" t="s">
        <v>23</v>
      </c>
      <c r="R16" s="62"/>
      <c r="S16" s="62"/>
      <c r="T16" s="62"/>
      <c r="U16" s="62"/>
      <c r="V16" s="63"/>
    </row>
    <row r="17" spans="1:22" ht="28.2" thickBot="1" x14ac:dyDescent="0.3">
      <c r="A17" s="7">
        <f t="shared" ca="1" si="2"/>
        <v>12</v>
      </c>
      <c r="B17" s="28" t="s">
        <v>22</v>
      </c>
      <c r="C17" s="29" t="s">
        <v>44</v>
      </c>
      <c r="D17" s="30">
        <v>1</v>
      </c>
      <c r="E17" s="11" t="s">
        <v>22</v>
      </c>
      <c r="F17" s="11" t="s">
        <v>22</v>
      </c>
      <c r="G17" s="11" t="s">
        <v>22</v>
      </c>
      <c r="H17" s="11" t="s">
        <v>22</v>
      </c>
      <c r="I17" s="11" t="s">
        <v>22</v>
      </c>
      <c r="J17" s="11" t="s">
        <v>22</v>
      </c>
      <c r="K17" s="11" t="s">
        <v>22</v>
      </c>
      <c r="L17" s="19">
        <f>700000*2</f>
        <v>1400000</v>
      </c>
      <c r="M17" s="20">
        <f>700000*2</f>
        <v>1400000</v>
      </c>
      <c r="N17" s="21">
        <f>T1+T3</f>
        <v>1500000</v>
      </c>
      <c r="O17" s="65">
        <f>(T3*1)+(T1*1)</f>
        <v>1500000</v>
      </c>
      <c r="P17" s="37">
        <f>(T3*1)+(T1*1)</f>
        <v>1500000</v>
      </c>
      <c r="Q17" s="61" t="s">
        <v>45</v>
      </c>
      <c r="R17" s="62"/>
      <c r="S17" s="62"/>
      <c r="T17" s="62"/>
      <c r="U17" s="62"/>
      <c r="V17" s="63"/>
    </row>
    <row r="18" spans="1:22" ht="27.6" thickBot="1" x14ac:dyDescent="0.3">
      <c r="A18" s="7">
        <f t="shared" ca="1" si="2"/>
        <v>13</v>
      </c>
      <c r="B18" s="7" t="s">
        <v>22</v>
      </c>
      <c r="C18" s="29" t="s">
        <v>46</v>
      </c>
      <c r="D18" s="30">
        <v>2</v>
      </c>
      <c r="E18" s="11" t="s">
        <v>22</v>
      </c>
      <c r="F18" s="11" t="s">
        <v>22</v>
      </c>
      <c r="G18" s="11" t="s">
        <v>22</v>
      </c>
      <c r="H18" s="11" t="s">
        <v>22</v>
      </c>
      <c r="I18" s="11" t="s">
        <v>22</v>
      </c>
      <c r="J18" s="11" t="s">
        <v>22</v>
      </c>
      <c r="K18" s="11" t="s">
        <v>22</v>
      </c>
      <c r="L18" s="11" t="s">
        <v>22</v>
      </c>
      <c r="M18" s="11" t="s">
        <v>22</v>
      </c>
      <c r="N18" s="11" t="s">
        <v>22</v>
      </c>
      <c r="O18" s="31">
        <f>((T1*2)+(T3*2))/2</f>
        <v>1500000</v>
      </c>
      <c r="P18" s="37">
        <f>((T1*2)+(T3*2))</f>
        <v>3000000</v>
      </c>
      <c r="Q18" s="61" t="s">
        <v>45</v>
      </c>
      <c r="R18" s="62"/>
      <c r="S18" s="62"/>
      <c r="T18" s="62"/>
      <c r="U18" s="62"/>
      <c r="V18" s="63"/>
    </row>
    <row r="19" spans="1:22" ht="27" x14ac:dyDescent="0.25">
      <c r="A19" s="7">
        <f t="shared" ca="1" si="2"/>
        <v>14</v>
      </c>
      <c r="B19" s="7"/>
      <c r="C19" s="32"/>
      <c r="D19" s="33"/>
      <c r="E19" s="34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</row>
    <row r="20" spans="1:22" ht="13.8" thickBot="1" x14ac:dyDescent="0.3"/>
    <row r="21" spans="1:22" x14ac:dyDescent="0.25">
      <c r="B21" s="43" t="s">
        <v>47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5"/>
    </row>
    <row r="22" spans="1:22" ht="13.8" thickBot="1" x14ac:dyDescent="0.3"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8"/>
    </row>
  </sheetData>
  <mergeCells count="12">
    <mergeCell ref="B21:V22"/>
    <mergeCell ref="A1:P2"/>
    <mergeCell ref="Q1:S2"/>
    <mergeCell ref="T1:V2"/>
    <mergeCell ref="A3:P4"/>
    <mergeCell ref="Q3:S4"/>
    <mergeCell ref="T3:V4"/>
    <mergeCell ref="Q6:V6"/>
    <mergeCell ref="Q14:V14"/>
    <mergeCell ref="Q16:V16"/>
    <mergeCell ref="Q17:V17"/>
    <mergeCell ref="Q18:V18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EC25-7297-49ED-A3E4-6B36A1791AAB}">
  <dimension ref="A1:V22"/>
  <sheetViews>
    <sheetView rightToLeft="1" tabSelected="1" topLeftCell="B1" zoomScale="130" zoomScaleNormal="130" workbookViewId="0">
      <selection activeCell="L17" sqref="L17"/>
    </sheetView>
  </sheetViews>
  <sheetFormatPr defaultRowHeight="13.2" x14ac:dyDescent="0.25"/>
  <cols>
    <col min="1" max="1" width="6.6640625" bestFit="1" customWidth="1"/>
    <col min="2" max="2" width="26.6640625" bestFit="1" customWidth="1"/>
    <col min="3" max="3" width="21.109375" bestFit="1" customWidth="1"/>
    <col min="4" max="4" width="11" customWidth="1"/>
    <col min="5" max="5" width="21.5546875" customWidth="1"/>
    <col min="6" max="6" width="18.109375" bestFit="1" customWidth="1"/>
    <col min="7" max="7" width="19.44140625" bestFit="1" customWidth="1"/>
    <col min="8" max="11" width="11.6640625" bestFit="1" customWidth="1"/>
    <col min="12" max="13" width="12.109375" bestFit="1" customWidth="1"/>
    <col min="14" max="14" width="17.6640625" customWidth="1"/>
    <col min="15" max="15" width="13.33203125" bestFit="1" customWidth="1"/>
    <col min="16" max="16" width="19.21875" bestFit="1" customWidth="1"/>
  </cols>
  <sheetData>
    <row r="1" spans="1:22" x14ac:dyDescent="0.2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1" t="s">
        <v>1</v>
      </c>
      <c r="R1" s="52"/>
      <c r="S1" s="53"/>
      <c r="T1" s="51">
        <v>600000</v>
      </c>
      <c r="U1" s="52"/>
      <c r="V1" s="53"/>
    </row>
    <row r="2" spans="1:22" ht="13.8" thickBot="1" x14ac:dyDescent="0.3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4"/>
      <c r="R2" s="55"/>
      <c r="S2" s="56"/>
      <c r="T2" s="54"/>
      <c r="U2" s="55"/>
      <c r="V2" s="56"/>
    </row>
    <row r="3" spans="1:22" x14ac:dyDescent="0.25">
      <c r="A3" s="57" t="s">
        <v>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1" t="s">
        <v>3</v>
      </c>
      <c r="R3" s="52"/>
      <c r="S3" s="53"/>
      <c r="T3" s="51">
        <v>900000</v>
      </c>
      <c r="U3" s="52"/>
      <c r="V3" s="53"/>
    </row>
    <row r="4" spans="1:22" ht="13.8" thickBot="1" x14ac:dyDescent="0.3">
      <c r="A4" s="59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54"/>
      <c r="R4" s="55"/>
      <c r="S4" s="56"/>
      <c r="T4" s="54"/>
      <c r="U4" s="55"/>
      <c r="V4" s="56"/>
    </row>
    <row r="5" spans="1:22" ht="25.8" thickBot="1" x14ac:dyDescent="0.3">
      <c r="A5" s="1" t="s">
        <v>4</v>
      </c>
      <c r="B5" s="2" t="s">
        <v>5</v>
      </c>
      <c r="C5" s="2" t="s">
        <v>6</v>
      </c>
      <c r="D5" s="3" t="s">
        <v>7</v>
      </c>
      <c r="E5" s="4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</row>
    <row r="6" spans="1:22" ht="30" thickBot="1" x14ac:dyDescent="0.3">
      <c r="A6" s="7">
        <v>1</v>
      </c>
      <c r="B6" s="8" t="s">
        <v>20</v>
      </c>
      <c r="C6" s="9" t="s">
        <v>21</v>
      </c>
      <c r="D6" s="10">
        <v>2</v>
      </c>
      <c r="E6" s="72" t="s">
        <v>22</v>
      </c>
      <c r="F6" s="68" t="s">
        <v>22</v>
      </c>
      <c r="G6" s="68" t="s">
        <v>22</v>
      </c>
      <c r="H6" s="68" t="s">
        <v>22</v>
      </c>
      <c r="I6" s="68" t="s">
        <v>22</v>
      </c>
      <c r="J6" s="68" t="s">
        <v>22</v>
      </c>
      <c r="K6" s="68" t="s">
        <v>22</v>
      </c>
      <c r="L6" s="69">
        <f>T1*D6</f>
        <v>1200000</v>
      </c>
      <c r="M6" s="69">
        <f>T1*D6</f>
        <v>1200000</v>
      </c>
      <c r="N6" s="69">
        <f>T1*D6</f>
        <v>1200000</v>
      </c>
      <c r="O6" s="69">
        <f>T1*D6</f>
        <v>1200000</v>
      </c>
      <c r="P6" s="69">
        <f>T1*D6</f>
        <v>1200000</v>
      </c>
      <c r="Q6" s="61" t="s">
        <v>23</v>
      </c>
      <c r="R6" s="62"/>
      <c r="S6" s="62"/>
      <c r="T6" s="62"/>
      <c r="U6" s="62"/>
      <c r="V6" s="63"/>
    </row>
    <row r="7" spans="1:22" ht="29.4" x14ac:dyDescent="0.25">
      <c r="A7" s="7">
        <f t="shared" ref="A7:A11" ca="1" si="0">OFFSET(A7,-1,0,1,1)+1</f>
        <v>2</v>
      </c>
      <c r="B7" s="14" t="s">
        <v>24</v>
      </c>
      <c r="C7" s="7" t="s">
        <v>25</v>
      </c>
      <c r="D7" s="15">
        <v>5</v>
      </c>
      <c r="E7" s="72" t="s">
        <v>22</v>
      </c>
      <c r="F7" s="68" t="s">
        <v>22</v>
      </c>
      <c r="G7" s="68" t="s">
        <v>22</v>
      </c>
      <c r="H7" s="68" t="s">
        <v>22</v>
      </c>
      <c r="I7" s="68" t="s">
        <v>22</v>
      </c>
      <c r="J7" s="68" t="s">
        <v>22</v>
      </c>
      <c r="K7" s="68" t="s">
        <v>22</v>
      </c>
      <c r="L7" s="69" t="s">
        <v>22</v>
      </c>
      <c r="M7" s="70" t="s">
        <v>22</v>
      </c>
      <c r="N7" s="71" t="s">
        <v>22</v>
      </c>
      <c r="O7" s="69" t="s">
        <v>22</v>
      </c>
      <c r="P7" s="69" t="s">
        <v>22</v>
      </c>
    </row>
    <row r="8" spans="1:22" ht="29.4" x14ac:dyDescent="0.25">
      <c r="A8" s="7">
        <f t="shared" ca="1" si="0"/>
        <v>3</v>
      </c>
      <c r="B8" s="14" t="s">
        <v>26</v>
      </c>
      <c r="C8" s="7" t="s">
        <v>27</v>
      </c>
      <c r="D8" s="15">
        <v>2</v>
      </c>
      <c r="E8" s="64">
        <f>($T$1)*1/2</f>
        <v>300000</v>
      </c>
      <c r="F8" s="64">
        <f>($T$1)</f>
        <v>600000</v>
      </c>
      <c r="G8" s="64">
        <f>($T$1)*D8</f>
        <v>1200000</v>
      </c>
      <c r="H8" s="73">
        <f>($T$1)*$D$8</f>
        <v>1200000</v>
      </c>
      <c r="I8" s="73">
        <f t="shared" ref="I8:O8" si="1">($T$1)*$D$8</f>
        <v>1200000</v>
      </c>
      <c r="J8" s="73">
        <f t="shared" si="1"/>
        <v>1200000</v>
      </c>
      <c r="K8" s="73">
        <f t="shared" si="1"/>
        <v>1200000</v>
      </c>
      <c r="L8" s="73">
        <f t="shared" si="1"/>
        <v>1200000</v>
      </c>
      <c r="M8" s="73">
        <f t="shared" si="1"/>
        <v>1200000</v>
      </c>
      <c r="N8" s="73">
        <f t="shared" si="1"/>
        <v>1200000</v>
      </c>
      <c r="O8" s="73">
        <f t="shared" si="1"/>
        <v>1200000</v>
      </c>
      <c r="P8" s="73">
        <f>($T$1)*D8</f>
        <v>1200000</v>
      </c>
    </row>
    <row r="9" spans="1:22" ht="29.4" x14ac:dyDescent="0.25">
      <c r="A9" s="7">
        <f t="shared" ca="1" si="0"/>
        <v>4</v>
      </c>
      <c r="B9" s="14" t="s">
        <v>28</v>
      </c>
      <c r="C9" s="7" t="s">
        <v>29</v>
      </c>
      <c r="D9" s="15">
        <v>2</v>
      </c>
      <c r="E9" s="64">
        <f>($T$1)*2/2</f>
        <v>600000</v>
      </c>
      <c r="F9" s="64">
        <f>((T1*D9)+(T3*D9/2))</f>
        <v>2100000</v>
      </c>
      <c r="G9" s="64">
        <f>(($T$1*$D$9)+($T$3*$D$9/2))</f>
        <v>2100000</v>
      </c>
      <c r="H9" s="73">
        <f t="shared" ref="H9:P9" si="2">(($T$1*$D$9)+($T$3*$D$9/2))</f>
        <v>2100000</v>
      </c>
      <c r="I9" s="73">
        <f t="shared" si="2"/>
        <v>2100000</v>
      </c>
      <c r="J9" s="73">
        <f t="shared" si="2"/>
        <v>2100000</v>
      </c>
      <c r="K9" s="73">
        <f t="shared" si="2"/>
        <v>2100000</v>
      </c>
      <c r="L9" s="73">
        <f t="shared" si="2"/>
        <v>2100000</v>
      </c>
      <c r="M9" s="73">
        <f t="shared" si="2"/>
        <v>2100000</v>
      </c>
      <c r="N9" s="73">
        <f t="shared" si="2"/>
        <v>2100000</v>
      </c>
      <c r="O9" s="73">
        <f>(($T$1*$D$9)+($T$3*$D$9/2))</f>
        <v>2100000</v>
      </c>
      <c r="P9" s="73">
        <f t="shared" si="2"/>
        <v>2100000</v>
      </c>
    </row>
    <row r="10" spans="1:22" ht="29.4" x14ac:dyDescent="0.25">
      <c r="A10" s="7">
        <f t="shared" ca="1" si="0"/>
        <v>5</v>
      </c>
      <c r="B10" s="14" t="s">
        <v>30</v>
      </c>
      <c r="C10" s="7" t="s">
        <v>31</v>
      </c>
      <c r="D10" s="15">
        <v>0</v>
      </c>
      <c r="E10" s="67">
        <f t="shared" ref="E10:E16" si="3">($T$1)*D10/2</f>
        <v>0</v>
      </c>
      <c r="F10" s="67">
        <f t="shared" ref="F10:F16" si="4">($T$1)*D10</f>
        <v>0</v>
      </c>
      <c r="G10" s="67">
        <f t="shared" ref="G10:G17" si="5">($T$1)*D10</f>
        <v>0</v>
      </c>
      <c r="H10" s="68"/>
      <c r="I10" s="68"/>
      <c r="J10" s="68"/>
      <c r="K10" s="68"/>
      <c r="L10" s="69"/>
      <c r="M10" s="70"/>
      <c r="N10" s="71"/>
      <c r="O10" s="69"/>
      <c r="P10" s="35"/>
    </row>
    <row r="11" spans="1:22" ht="29.4" x14ac:dyDescent="0.25">
      <c r="A11" s="7">
        <f t="shared" ca="1" si="0"/>
        <v>6</v>
      </c>
      <c r="B11" s="14" t="s">
        <v>32</v>
      </c>
      <c r="C11" s="7" t="s">
        <v>33</v>
      </c>
      <c r="D11" s="15">
        <v>0</v>
      </c>
      <c r="E11" s="67">
        <f t="shared" si="3"/>
        <v>0</v>
      </c>
      <c r="F11" s="67">
        <f t="shared" si="4"/>
        <v>0</v>
      </c>
      <c r="G11" s="67">
        <f t="shared" si="5"/>
        <v>0</v>
      </c>
      <c r="H11" s="68"/>
      <c r="I11" s="68"/>
      <c r="J11" s="68"/>
      <c r="K11" s="68"/>
      <c r="L11" s="69"/>
      <c r="M11" s="70"/>
      <c r="N11" s="71"/>
      <c r="O11" s="69"/>
      <c r="P11" s="35"/>
    </row>
    <row r="12" spans="1:22" ht="29.4" x14ac:dyDescent="0.25">
      <c r="A12" s="7">
        <v>7</v>
      </c>
      <c r="B12" s="14" t="s">
        <v>34</v>
      </c>
      <c r="C12" s="7" t="s">
        <v>48</v>
      </c>
      <c r="D12" s="40">
        <v>2</v>
      </c>
      <c r="E12" s="73">
        <f>($T$1)*1/2</f>
        <v>300000</v>
      </c>
      <c r="F12" s="73">
        <f t="shared" si="4"/>
        <v>1200000</v>
      </c>
      <c r="G12" s="73">
        <f>($T$1)*$D$12</f>
        <v>1200000</v>
      </c>
      <c r="H12" s="73">
        <f t="shared" ref="H12:P12" si="6">($T$1)*$D$12</f>
        <v>1200000</v>
      </c>
      <c r="I12" s="73">
        <f t="shared" si="6"/>
        <v>1200000</v>
      </c>
      <c r="J12" s="73">
        <f t="shared" si="6"/>
        <v>1200000</v>
      </c>
      <c r="K12" s="73">
        <f t="shared" si="6"/>
        <v>1200000</v>
      </c>
      <c r="L12" s="73">
        <f t="shared" si="6"/>
        <v>1200000</v>
      </c>
      <c r="M12" s="73">
        <f t="shared" si="6"/>
        <v>1200000</v>
      </c>
      <c r="N12" s="73">
        <f t="shared" si="6"/>
        <v>1200000</v>
      </c>
      <c r="O12" s="73">
        <f t="shared" si="6"/>
        <v>1200000</v>
      </c>
      <c r="P12" s="73">
        <f t="shared" si="6"/>
        <v>1200000</v>
      </c>
    </row>
    <row r="13" spans="1:22" ht="30" thickBot="1" x14ac:dyDescent="0.3">
      <c r="A13" s="7">
        <f t="shared" ref="A13:A19" ca="1" si="7">OFFSET(A13,-1,0,1,1)+1</f>
        <v>8</v>
      </c>
      <c r="B13" s="14" t="s">
        <v>36</v>
      </c>
      <c r="C13" s="7" t="s">
        <v>37</v>
      </c>
      <c r="D13" s="15">
        <v>3</v>
      </c>
      <c r="E13" s="73">
        <f t="shared" si="3"/>
        <v>900000</v>
      </c>
      <c r="F13" s="73">
        <f t="shared" si="4"/>
        <v>1800000</v>
      </c>
      <c r="G13" s="73">
        <f>($T$1)*$D$13</f>
        <v>1800000</v>
      </c>
      <c r="H13" s="73">
        <f t="shared" ref="H13:O13" si="8">($T$1)*$D$13</f>
        <v>1800000</v>
      </c>
      <c r="I13" s="73">
        <f t="shared" si="8"/>
        <v>1800000</v>
      </c>
      <c r="J13" s="73">
        <f t="shared" si="8"/>
        <v>1800000</v>
      </c>
      <c r="K13" s="73">
        <f t="shared" si="8"/>
        <v>1800000</v>
      </c>
      <c r="L13" s="73">
        <f t="shared" si="8"/>
        <v>1800000</v>
      </c>
      <c r="M13" s="73">
        <f t="shared" si="8"/>
        <v>1800000</v>
      </c>
      <c r="N13" s="73">
        <f t="shared" si="8"/>
        <v>1800000</v>
      </c>
      <c r="O13" s="73">
        <f t="shared" si="8"/>
        <v>1800000</v>
      </c>
      <c r="P13" s="73">
        <f>($T$1)*$D$13</f>
        <v>1800000</v>
      </c>
    </row>
    <row r="14" spans="1:22" ht="30" thickBot="1" x14ac:dyDescent="0.3">
      <c r="A14" s="7">
        <f t="shared" ca="1" si="7"/>
        <v>9</v>
      </c>
      <c r="B14" s="25" t="s">
        <v>38</v>
      </c>
      <c r="C14" s="7" t="s">
        <v>39</v>
      </c>
      <c r="D14" s="15">
        <v>1</v>
      </c>
      <c r="E14" s="67">
        <f t="shared" si="3"/>
        <v>300000</v>
      </c>
      <c r="F14" s="67">
        <f t="shared" si="4"/>
        <v>600000</v>
      </c>
      <c r="G14" s="67">
        <f>($T$1)*$D$14</f>
        <v>600000</v>
      </c>
      <c r="H14" s="67">
        <f t="shared" ref="H14:P14" si="9">($T$1)*$D$14</f>
        <v>600000</v>
      </c>
      <c r="I14" s="67">
        <f t="shared" si="9"/>
        <v>600000</v>
      </c>
      <c r="J14" s="67">
        <f t="shared" si="9"/>
        <v>600000</v>
      </c>
      <c r="K14" s="67">
        <f t="shared" si="9"/>
        <v>600000</v>
      </c>
      <c r="L14" s="67">
        <f t="shared" si="9"/>
        <v>600000</v>
      </c>
      <c r="M14" s="67">
        <f t="shared" si="9"/>
        <v>600000</v>
      </c>
      <c r="N14" s="67">
        <f t="shared" si="9"/>
        <v>600000</v>
      </c>
      <c r="O14" s="67">
        <f t="shared" si="9"/>
        <v>600000</v>
      </c>
      <c r="P14" s="67">
        <f t="shared" si="9"/>
        <v>600000</v>
      </c>
      <c r="Q14" s="61" t="s">
        <v>23</v>
      </c>
      <c r="R14" s="62"/>
      <c r="S14" s="62"/>
      <c r="T14" s="62"/>
      <c r="U14" s="62"/>
      <c r="V14" s="63"/>
    </row>
    <row r="15" spans="1:22" ht="30" thickBot="1" x14ac:dyDescent="0.3">
      <c r="A15" s="7">
        <f t="shared" ca="1" si="7"/>
        <v>10</v>
      </c>
      <c r="B15" s="14" t="s">
        <v>40</v>
      </c>
      <c r="C15" s="7" t="s">
        <v>41</v>
      </c>
      <c r="D15" s="15">
        <v>0</v>
      </c>
      <c r="E15" s="67">
        <f t="shared" si="3"/>
        <v>0</v>
      </c>
      <c r="F15" s="67">
        <f t="shared" si="4"/>
        <v>0</v>
      </c>
      <c r="G15" s="67">
        <f t="shared" si="5"/>
        <v>0</v>
      </c>
      <c r="H15" s="68"/>
      <c r="I15" s="68"/>
      <c r="J15" s="68"/>
      <c r="K15" s="68"/>
      <c r="L15" s="69"/>
      <c r="M15" s="70"/>
      <c r="N15" s="71"/>
      <c r="O15" s="69"/>
      <c r="P15" s="69"/>
    </row>
    <row r="16" spans="1:22" ht="30" thickBot="1" x14ac:dyDescent="0.3">
      <c r="A16" s="7">
        <f t="shared" ca="1" si="7"/>
        <v>11</v>
      </c>
      <c r="B16" s="25" t="s">
        <v>42</v>
      </c>
      <c r="C16" s="7" t="s">
        <v>43</v>
      </c>
      <c r="D16" s="15">
        <v>1</v>
      </c>
      <c r="E16" s="67">
        <f t="shared" si="3"/>
        <v>300000</v>
      </c>
      <c r="F16" s="67">
        <f t="shared" si="4"/>
        <v>600000</v>
      </c>
      <c r="G16" s="67">
        <f>($T$1)*$D$16</f>
        <v>600000</v>
      </c>
      <c r="H16" s="67">
        <f t="shared" ref="H16:P16" si="10">($T$1)*$D$16</f>
        <v>600000</v>
      </c>
      <c r="I16" s="67">
        <f t="shared" si="10"/>
        <v>600000</v>
      </c>
      <c r="J16" s="67">
        <f t="shared" si="10"/>
        <v>600000</v>
      </c>
      <c r="K16" s="67">
        <f t="shared" si="10"/>
        <v>600000</v>
      </c>
      <c r="L16" s="67">
        <f t="shared" si="10"/>
        <v>600000</v>
      </c>
      <c r="M16" s="67">
        <f t="shared" si="10"/>
        <v>600000</v>
      </c>
      <c r="N16" s="67">
        <f t="shared" si="10"/>
        <v>600000</v>
      </c>
      <c r="O16" s="67">
        <f t="shared" si="10"/>
        <v>600000</v>
      </c>
      <c r="P16" s="67">
        <f t="shared" si="10"/>
        <v>600000</v>
      </c>
      <c r="Q16" s="61" t="s">
        <v>23</v>
      </c>
      <c r="R16" s="62"/>
      <c r="S16" s="62"/>
      <c r="T16" s="62"/>
      <c r="U16" s="62"/>
      <c r="V16" s="63"/>
    </row>
    <row r="17" spans="1:22" ht="28.2" thickBot="1" x14ac:dyDescent="0.3">
      <c r="A17" s="7">
        <f t="shared" ca="1" si="7"/>
        <v>12</v>
      </c>
      <c r="B17" s="28" t="s">
        <v>22</v>
      </c>
      <c r="C17" s="29" t="s">
        <v>44</v>
      </c>
      <c r="D17" s="30">
        <v>1</v>
      </c>
      <c r="E17" s="64">
        <f>((T1*D17)+(T3*D17))/2</f>
        <v>750000</v>
      </c>
      <c r="F17" s="64">
        <f>((T1*D17)+(T3*D17))</f>
        <v>1500000</v>
      </c>
      <c r="G17" s="64">
        <f>($T$1)*$D$17</f>
        <v>600000</v>
      </c>
      <c r="H17" s="73">
        <f t="shared" ref="H17:P17" si="11">($T$1)*$D$17</f>
        <v>600000</v>
      </c>
      <c r="I17" s="73">
        <f t="shared" si="11"/>
        <v>600000</v>
      </c>
      <c r="J17" s="73">
        <f t="shared" si="11"/>
        <v>600000</v>
      </c>
      <c r="K17" s="73">
        <f t="shared" si="11"/>
        <v>600000</v>
      </c>
      <c r="L17" s="73">
        <f t="shared" si="11"/>
        <v>600000</v>
      </c>
      <c r="M17" s="73">
        <f t="shared" si="11"/>
        <v>600000</v>
      </c>
      <c r="N17" s="73">
        <f t="shared" si="11"/>
        <v>600000</v>
      </c>
      <c r="O17" s="73">
        <f t="shared" si="11"/>
        <v>600000</v>
      </c>
      <c r="P17" s="73">
        <f t="shared" si="11"/>
        <v>600000</v>
      </c>
      <c r="Q17" s="61" t="s">
        <v>45</v>
      </c>
      <c r="R17" s="62"/>
      <c r="S17" s="62"/>
      <c r="T17" s="62"/>
      <c r="U17" s="62"/>
      <c r="V17" s="63"/>
    </row>
    <row r="18" spans="1:22" ht="27.6" thickBot="1" x14ac:dyDescent="0.3">
      <c r="A18" s="7">
        <f t="shared" ca="1" si="7"/>
        <v>13</v>
      </c>
      <c r="B18" s="7" t="s">
        <v>22</v>
      </c>
      <c r="C18" s="29" t="s">
        <v>46</v>
      </c>
      <c r="D18" s="30">
        <v>2</v>
      </c>
      <c r="E18" s="38">
        <f>((T1*D18)+(T3*D18))/2</f>
        <v>1500000</v>
      </c>
      <c r="F18" s="38">
        <f>((T1*D18)+(T3*D18))</f>
        <v>3000000</v>
      </c>
      <c r="G18" s="38">
        <f>(($T$1*$D$18)+($T$3*$D$18))</f>
        <v>3000000</v>
      </c>
      <c r="H18" s="38">
        <f t="shared" ref="H18:P18" si="12">(($T$1*$D$18)+($T$3*$D$18))</f>
        <v>3000000</v>
      </c>
      <c r="I18" s="38">
        <f t="shared" si="12"/>
        <v>3000000</v>
      </c>
      <c r="J18" s="38">
        <f t="shared" si="12"/>
        <v>3000000</v>
      </c>
      <c r="K18" s="38">
        <f t="shared" si="12"/>
        <v>3000000</v>
      </c>
      <c r="L18" s="38">
        <f t="shared" si="12"/>
        <v>3000000</v>
      </c>
      <c r="M18" s="38">
        <f t="shared" si="12"/>
        <v>3000000</v>
      </c>
      <c r="N18" s="38">
        <f t="shared" si="12"/>
        <v>3000000</v>
      </c>
      <c r="O18" s="38">
        <f t="shared" si="12"/>
        <v>3000000</v>
      </c>
      <c r="P18" s="38">
        <f t="shared" si="12"/>
        <v>3000000</v>
      </c>
      <c r="Q18" s="61" t="s">
        <v>45</v>
      </c>
      <c r="R18" s="62"/>
      <c r="S18" s="62"/>
      <c r="T18" s="62"/>
      <c r="U18" s="62"/>
      <c r="V18" s="63"/>
    </row>
    <row r="19" spans="1:22" ht="27" x14ac:dyDescent="0.25">
      <c r="A19" s="7">
        <f t="shared" ca="1" si="7"/>
        <v>14</v>
      </c>
      <c r="B19" s="7"/>
      <c r="C19" s="41" t="s">
        <v>49</v>
      </c>
      <c r="D19" s="42">
        <v>1</v>
      </c>
      <c r="E19" s="38"/>
      <c r="F19" s="38"/>
      <c r="G19" s="38">
        <f>((T1*D19)+(T3*D19))/2</f>
        <v>750000</v>
      </c>
      <c r="H19" s="38">
        <f>(($T$1*$D$19)+($T$3*$D$19))</f>
        <v>1500000</v>
      </c>
      <c r="I19" s="38">
        <f t="shared" ref="I19:P19" si="13">(($T$1*$D$19)+($T$3*$D$19))</f>
        <v>1500000</v>
      </c>
      <c r="J19" s="38">
        <f t="shared" si="13"/>
        <v>1500000</v>
      </c>
      <c r="K19" s="38">
        <f t="shared" si="13"/>
        <v>1500000</v>
      </c>
      <c r="L19" s="38">
        <f t="shared" si="13"/>
        <v>1500000</v>
      </c>
      <c r="M19" s="38">
        <f t="shared" si="13"/>
        <v>1500000</v>
      </c>
      <c r="N19" s="38">
        <f t="shared" si="13"/>
        <v>1500000</v>
      </c>
      <c r="O19" s="38">
        <f t="shared" si="13"/>
        <v>1500000</v>
      </c>
      <c r="P19" s="38">
        <f t="shared" si="13"/>
        <v>1500000</v>
      </c>
    </row>
    <row r="20" spans="1:22" ht="13.8" thickBot="1" x14ac:dyDescent="0.3"/>
    <row r="21" spans="1:22" x14ac:dyDescent="0.25">
      <c r="B21" s="43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5"/>
    </row>
    <row r="22" spans="1:22" ht="13.8" thickBot="1" x14ac:dyDescent="0.3"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8"/>
    </row>
  </sheetData>
  <mergeCells count="12">
    <mergeCell ref="B21:V22"/>
    <mergeCell ref="A1:P2"/>
    <mergeCell ref="Q1:S2"/>
    <mergeCell ref="T1:V2"/>
    <mergeCell ref="A3:P4"/>
    <mergeCell ref="Q3:S4"/>
    <mergeCell ref="T3:V4"/>
    <mergeCell ref="Q6:V6"/>
    <mergeCell ref="Q14:V14"/>
    <mergeCell ref="Q16:V16"/>
    <mergeCell ref="Q17:V17"/>
    <mergeCell ref="Q18:V1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1404</vt:lpstr>
      <vt:lpstr>1405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</dc:creator>
  <cp:lastModifiedBy>Mehdi</cp:lastModifiedBy>
  <dcterms:created xsi:type="dcterms:W3CDTF">2026-05-05T12:43:37Z</dcterms:created>
  <dcterms:modified xsi:type="dcterms:W3CDTF">2026-06-13T11:33:31Z</dcterms:modified>
</cp:coreProperties>
</file>